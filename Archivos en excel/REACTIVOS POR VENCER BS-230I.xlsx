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rolab-desa\Archivos en excel\"/>
    </mc:Choice>
  </mc:AlternateContent>
  <xr:revisionPtr revIDLastSave="0" documentId="8_{52D8A853-AF1A-416D-8F38-4475B4FAFFA3}" xr6:coauthVersionLast="47" xr6:coauthVersionMax="47" xr10:uidLastSave="{00000000-0000-0000-0000-000000000000}"/>
  <bookViews>
    <workbookView xWindow="-120" yWindow="-120" windowWidth="15600" windowHeight="11160" activeTab="1" xr2:uid="{6C2D4D82-3683-4872-83FD-DF2B0AB3AA81}"/>
  </bookViews>
  <sheets>
    <sheet name="Hoja1" sheetId="1" r:id="rId1"/>
    <sheet name="cm 26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2" l="1"/>
  <c r="O10" i="2"/>
  <c r="D37" i="1"/>
</calcChain>
</file>

<file path=xl/sharedStrings.xml><?xml version="1.0" encoding="utf-8"?>
<sst xmlns="http://schemas.openxmlformats.org/spreadsheetml/2006/main" count="520" uniqueCount="207">
  <si>
    <t xml:space="preserve">Grupo </t>
  </si>
  <si>
    <t>P/N</t>
  </si>
  <si>
    <t>Descripción</t>
  </si>
  <si>
    <t>EQUIPO</t>
  </si>
  <si>
    <t>Marca</t>
  </si>
  <si>
    <t>Presentación por Caja</t>
  </si>
  <si>
    <t>Precio U. (USD) x Caja</t>
  </si>
  <si>
    <t>existencia alm-resguardo</t>
  </si>
  <si>
    <t>Presentación de Manejo</t>
  </si>
  <si>
    <t>fecha venc.</t>
  </si>
  <si>
    <t>lote</t>
  </si>
  <si>
    <t>VALORIZADO POR VENCER</t>
  </si>
  <si>
    <t>Control</t>
  </si>
  <si>
    <t>105-009117-00</t>
  </si>
  <si>
    <t>CLINCHEM MULTI CONTROL (LEVEL 1)</t>
  </si>
  <si>
    <t>BS-230i</t>
  </si>
  <si>
    <t>Mindray</t>
  </si>
  <si>
    <t>10×5 mL</t>
  </si>
  <si>
    <t>CAJA</t>
  </si>
  <si>
    <t>105-004650-00</t>
  </si>
  <si>
    <t>ASO/CRP/RF TRIPLE CONTROL</t>
  </si>
  <si>
    <t>L: 3×1 mL; H: 3×1 mL</t>
  </si>
  <si>
    <t>REACTIVO</t>
  </si>
  <si>
    <t>105-000814-00</t>
  </si>
  <si>
    <t>kit de a-Amylasa (Metodo IFCC) a-AMY</t>
  </si>
  <si>
    <t xml:space="preserve">1* R1-30ML/  R2-10M </t>
  </si>
  <si>
    <t>105-000815-00</t>
  </si>
  <si>
    <t>kit de Acido Urico  (Metodo URICASA PEROXIDASA) UA</t>
  </si>
  <si>
    <t xml:space="preserve">2* R1-40ml/  R2-20ml </t>
  </si>
  <si>
    <t>105-000816-00</t>
  </si>
  <si>
    <t>kit de Albumina (Metodo Verde de Bromocresol) ALB</t>
  </si>
  <si>
    <t>4*40ml</t>
  </si>
  <si>
    <t>105-000817-00</t>
  </si>
  <si>
    <t>kit de Albumina Amino Transferasi ALT</t>
  </si>
  <si>
    <t xml:space="preserve">C x 2 x R1-35ML/  R2-18M </t>
  </si>
  <si>
    <t>105-000818-00</t>
  </si>
  <si>
    <t>Kit de Antiestreptolisina ASO II</t>
  </si>
  <si>
    <t>C x R1-40ML/  R2-40M / CAL-0.5ML</t>
  </si>
  <si>
    <t>105-000819-00</t>
  </si>
  <si>
    <t>kit de Aspartato Amino Transferasi AST</t>
  </si>
  <si>
    <t>105-000820-00</t>
  </si>
  <si>
    <t>kit de Bilirrubina Directa (Metodo VOX) BIL-D</t>
  </si>
  <si>
    <t xml:space="preserve">2 * R1-35ML/  R2-18M </t>
  </si>
  <si>
    <t>105-000821-00</t>
  </si>
  <si>
    <t>kit de Bilirrubina Total (Metodo VOX) BIL-T</t>
  </si>
  <si>
    <t>105-000822-00</t>
  </si>
  <si>
    <t>kit de Calcio (Metodo ARENASO) CA</t>
  </si>
  <si>
    <t>105-000823-00</t>
  </si>
  <si>
    <t>kit de Colesterol Total (Metodo CHOD-POD) TC</t>
  </si>
  <si>
    <t>105-000824-00</t>
  </si>
  <si>
    <t>kit de Creatina (Metodo SARCOSINA OXIDASA) CREA</t>
  </si>
  <si>
    <t xml:space="preserve">1* R1-27ML/  R2-18M </t>
  </si>
  <si>
    <t>105-000825-00</t>
  </si>
  <si>
    <t>kit de Ferretina (Metodo Ensayo Inmunotulbidimetrico con Refuerzos de Particulas) FER</t>
  </si>
  <si>
    <t>2* R1-18ml/  R2-10ml</t>
  </si>
  <si>
    <t>105-000832-00</t>
  </si>
  <si>
    <t>kit de Foforo (Metodo Fosfomolibdato) P</t>
  </si>
  <si>
    <t>105-000833-00</t>
  </si>
  <si>
    <t>kit de Fosfatasa Lacalina (Metodo IFCC) ALP</t>
  </si>
  <si>
    <t xml:space="preserve"> 2 * R1-34ML/  R2-18M </t>
  </si>
  <si>
    <t>105-000834-00</t>
  </si>
  <si>
    <t>kit de Gamma Glutamil Transferasi (Metodo IFCC) GGT</t>
  </si>
  <si>
    <t>2* R1-35ml/  R2-18ml</t>
  </si>
  <si>
    <t>105-000835-00</t>
  </si>
  <si>
    <t>kit de Glucosa (Metodo GOD-POD) GLU</t>
  </si>
  <si>
    <t>105-000836-00</t>
  </si>
  <si>
    <t>kit de Glucosa (Metodo HK) GLU-HK</t>
  </si>
  <si>
    <t>105-000837-00</t>
  </si>
  <si>
    <t>kit de Hierro (FE) Ensayo Colorimetrico FE</t>
  </si>
  <si>
    <t>2* R1-40ml/  R2-16ml /CAL-1,5 ml / CTROL-1,5ml</t>
  </si>
  <si>
    <t>105-000838-00</t>
  </si>
  <si>
    <t>kit de Lactato Deshi (Metodo IFCC) LDH</t>
  </si>
  <si>
    <t>105-000840-00</t>
  </si>
  <si>
    <t>kit de Micro Albumina (Metodo Ensayo Inmunotulbidimetrico) MALB</t>
  </si>
  <si>
    <t>2* R1-18ml/  R2-5ml</t>
  </si>
  <si>
    <t>105-000841-00</t>
  </si>
  <si>
    <t>kit de Proteina C Reactiva  (Metodo TURBIDEMETRIA) CRP</t>
  </si>
  <si>
    <t xml:space="preserve">1* R1-40ML/  R2-10M </t>
  </si>
  <si>
    <t>105-000843-00</t>
  </si>
  <si>
    <t>kit de Proteina Quinase-MB CK-MB</t>
  </si>
  <si>
    <t xml:space="preserve">1* R1-35ML/  R2-18M </t>
  </si>
  <si>
    <t>105-000845-00</t>
  </si>
  <si>
    <t>kit de Proteinas Total (Metodo POR BIURETO) TP</t>
  </si>
  <si>
    <t>105-000846-00</t>
  </si>
  <si>
    <t>kit de Transferina  (Metodo Ensayo Inmunotulbidimetrico) TRF</t>
  </si>
  <si>
    <t>2*R1-32ml/  R2-6ml</t>
  </si>
  <si>
    <t>105-000847-00</t>
  </si>
  <si>
    <t>kit de Trigliceridos (Metodo GPO-POD) TG</t>
  </si>
  <si>
    <t>105-000848-00</t>
  </si>
  <si>
    <t>kit de Urea  (Metodo UREASA GLDH-UV) UREA</t>
  </si>
  <si>
    <t xml:space="preserve">2* R1-35ml/  R2-18ml </t>
  </si>
  <si>
    <t>TOTAL:</t>
  </si>
  <si>
    <t>CX1</t>
  </si>
  <si>
    <t>CX2</t>
  </si>
  <si>
    <t>CX4</t>
  </si>
  <si>
    <t>10-11--26</t>
  </si>
  <si>
    <t>046125011</t>
  </si>
  <si>
    <t>046025010</t>
  </si>
  <si>
    <t>046225012</t>
  </si>
  <si>
    <t>VALORIZADO DE REACTIVOS PROXIMOS A VENCER BS-230I</t>
  </si>
  <si>
    <t>Posteriores Mes 7-8-9 del año 2027</t>
  </si>
  <si>
    <t>Codigo de Barra</t>
  </si>
  <si>
    <t>Descripcion Abreviada</t>
  </si>
  <si>
    <t>Panel</t>
  </si>
  <si>
    <t>Referencia</t>
  </si>
  <si>
    <t>Presentación de Compra</t>
  </si>
  <si>
    <t>Pruebas/kit</t>
  </si>
  <si>
    <t>Fco o Kit  X Caja</t>
  </si>
  <si>
    <t>Ml X Fco</t>
  </si>
  <si>
    <t>Ml X Caja</t>
  </si>
  <si>
    <t>Calibrador asignado</t>
  </si>
  <si>
    <t>Control (grupo)</t>
  </si>
  <si>
    <t>Apiica</t>
  </si>
  <si>
    <t>Clasificacion</t>
  </si>
  <si>
    <t>Stock Critico</t>
  </si>
  <si>
    <t>Stock Minimo</t>
  </si>
  <si>
    <t>Stock Maximo</t>
  </si>
  <si>
    <t>existencia alm-Ppal</t>
  </si>
  <si>
    <t>nivel</t>
  </si>
  <si>
    <t>GGT</t>
  </si>
  <si>
    <t>(GGT) ϒ-G-TEST CINETICA AA LIQUIDA</t>
  </si>
  <si>
    <t>CM-260i</t>
  </si>
  <si>
    <t>Wiener</t>
  </si>
  <si>
    <t>2X36ML (A) 2X9ML (B)</t>
  </si>
  <si>
    <t>Quimica Sanguinea</t>
  </si>
  <si>
    <t>LDK1727040</t>
  </si>
  <si>
    <t>NEV-2-4</t>
  </si>
  <si>
    <t>ALB</t>
  </si>
  <si>
    <t>ALBUMINA AA</t>
  </si>
  <si>
    <t>3X40ML</t>
  </si>
  <si>
    <t>CX3</t>
  </si>
  <si>
    <t>LDK0128110</t>
  </si>
  <si>
    <t>ALP</t>
  </si>
  <si>
    <t>105-001144-00</t>
  </si>
  <si>
    <t>ALP 405 AA LIQUIDA</t>
  </si>
  <si>
    <t>LDK0227061</t>
  </si>
  <si>
    <t>BIL-D</t>
  </si>
  <si>
    <t>BILIRRUBINA DIRECTA  AA LIQUIDA</t>
  </si>
  <si>
    <t>4*35ml-7ml</t>
  </si>
  <si>
    <t>LDK0427060</t>
  </si>
  <si>
    <t>BIL-T</t>
  </si>
  <si>
    <t>BILIRRUBINA TOTAL  AA LIQUIDA</t>
  </si>
  <si>
    <t>LDK0527060</t>
  </si>
  <si>
    <t>CA</t>
  </si>
  <si>
    <t>CA-COLOR ARTENAZO III AA</t>
  </si>
  <si>
    <t>2X55ML</t>
  </si>
  <si>
    <t>LDK0627100</t>
  </si>
  <si>
    <t>CK-MB</t>
  </si>
  <si>
    <t>CK-MB NAC UV AA LIQ.</t>
  </si>
  <si>
    <t>1*60ml</t>
  </si>
  <si>
    <t>COL</t>
  </si>
  <si>
    <t>COLESTAT ENZIMATICO AA LIQUIDA</t>
  </si>
  <si>
    <t>6X55ML</t>
  </si>
  <si>
    <t>CX6</t>
  </si>
  <si>
    <t>LDK1027060</t>
  </si>
  <si>
    <t>CREA</t>
  </si>
  <si>
    <t>CREATINA CINETICA AA LIQUIDA</t>
  </si>
  <si>
    <t>4*36ml(A) 4*9ml(B)</t>
  </si>
  <si>
    <t>LDK1127060</t>
  </si>
  <si>
    <t>FER</t>
  </si>
  <si>
    <t>FER-COLOR AA LIQUIDA</t>
  </si>
  <si>
    <t>1X100ML (A) 1X20ML (B) 1X20ML (S)</t>
  </si>
  <si>
    <t xml:space="preserve">FOSFATEMIA UV  AA </t>
  </si>
  <si>
    <t>1*55ml</t>
  </si>
  <si>
    <t>GLICEMIA ENZIMATICA AA LIQUIDA</t>
  </si>
  <si>
    <t>LDK1827060</t>
  </si>
  <si>
    <t>AST</t>
  </si>
  <si>
    <t>GOT (AST) UV AA LIQUIDA</t>
  </si>
  <si>
    <t>4X36ML (A) 4X9ML (B)</t>
  </si>
  <si>
    <t>LDK2027050</t>
  </si>
  <si>
    <t>ALT</t>
  </si>
  <si>
    <t>GPT (ALT) UV AA LIQUIDA</t>
  </si>
  <si>
    <t>LDK2127060</t>
  </si>
  <si>
    <t>HDL COLESTEROL DIRECT 40 ML</t>
  </si>
  <si>
    <t>Cromatest</t>
  </si>
  <si>
    <t>R1:30ml / R2:10ml</t>
  </si>
  <si>
    <t>NEV-2-2</t>
  </si>
  <si>
    <t>LDH</t>
  </si>
  <si>
    <t>LDH-P UV AA LIQUIDA</t>
  </si>
  <si>
    <t>LIP</t>
  </si>
  <si>
    <t xml:space="preserve">LIPASA AA LIQUIDA </t>
  </si>
  <si>
    <t>RAx20ml RBx12ml</t>
  </si>
  <si>
    <t>MG</t>
  </si>
  <si>
    <t>MG-COLOR AA</t>
  </si>
  <si>
    <t>1*37ml</t>
  </si>
  <si>
    <t>LDK9227080</t>
  </si>
  <si>
    <t>PCR</t>
  </si>
  <si>
    <t>PCR TURBITEST AA</t>
  </si>
  <si>
    <t>PROTEINAS TOTALES AA</t>
  </si>
  <si>
    <t>3*40ml</t>
  </si>
  <si>
    <t>PROTI</t>
  </si>
  <si>
    <t>PROTI U/LCR</t>
  </si>
  <si>
    <t>2X55ML (A) 1X4ML (S)</t>
  </si>
  <si>
    <t>STANDRATOL S-E (2) NIVEL</t>
  </si>
  <si>
    <t>3*5ml</t>
  </si>
  <si>
    <t>TG</t>
  </si>
  <si>
    <t>TG COLOR GPO/PAP AA LIQUIDA</t>
  </si>
  <si>
    <t>UREA</t>
  </si>
  <si>
    <t>UREA UV CINETICA AA LIQUIDA</t>
  </si>
  <si>
    <t>LDK3527030</t>
  </si>
  <si>
    <t>URICOSTAT ENZIMATICO AA LIQUIDA</t>
  </si>
  <si>
    <t>TW AA LIQ.</t>
  </si>
  <si>
    <t>2X5ML</t>
  </si>
  <si>
    <t>VDRL</t>
  </si>
  <si>
    <t>CX250</t>
  </si>
  <si>
    <t>UIBC / TIBC AA LIQ.</t>
  </si>
  <si>
    <t>CX65ML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</si>
</sst>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8"/>
      <color rgb="FF000000"/>
      <name val="Aptos Narrow"/>
      <family val="2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rgb="FF1F4E79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/>
    <xf numFmtId="14" fontId="0" fillId="3" borderId="1" xfId="0" applyNumberFormat="1" applyFill="1" applyBorder="1" applyAlignment="1">
      <alignment horizontal="center"/>
    </xf>
    <xf numFmtId="14" fontId="1" fillId="3" borderId="1" xfId="0" applyNumberFormat="1" applyFont="1" applyFill="1" applyBorder="1"/>
    <xf numFmtId="14" fontId="1" fillId="4" borderId="1" xfId="0" applyNumberFormat="1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4" fontId="0" fillId="4" borderId="1" xfId="0" applyNumberFormat="1" applyFill="1" applyBorder="1"/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4" fontId="0" fillId="5" borderId="1" xfId="0" applyNumberFormat="1" applyFill="1" applyBorder="1"/>
    <xf numFmtId="14" fontId="0" fillId="5" borderId="1" xfId="0" applyNumberFormat="1" applyFill="1" applyBorder="1" applyAlignment="1">
      <alignment horizontal="center"/>
    </xf>
    <xf numFmtId="14" fontId="1" fillId="5" borderId="1" xfId="0" applyNumberFormat="1" applyFont="1" applyFill="1" applyBorder="1"/>
    <xf numFmtId="14" fontId="1" fillId="2" borderId="1" xfId="0" applyNumberFormat="1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5" borderId="1" xfId="0" applyNumberFormat="1" applyFill="1" applyBorder="1"/>
    <xf numFmtId="164" fontId="0" fillId="4" borderId="1" xfId="0" applyNumberFormat="1" applyFill="1" applyBorder="1"/>
    <xf numFmtId="164" fontId="1" fillId="0" borderId="0" xfId="0" applyNumberFormat="1" applyFont="1"/>
    <xf numFmtId="164" fontId="0" fillId="0" borderId="0" xfId="0" applyNumberFormat="1"/>
    <xf numFmtId="14" fontId="1" fillId="6" borderId="1" xfId="0" applyNumberFormat="1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4" fontId="0" fillId="6" borderId="1" xfId="0" applyNumberFormat="1" applyFill="1" applyBorder="1"/>
    <xf numFmtId="1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/>
    <xf numFmtId="164" fontId="1" fillId="3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6" borderId="1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4" fontId="0" fillId="0" borderId="1" xfId="0" applyNumberFormat="1" applyFill="1" applyBorder="1"/>
    <xf numFmtId="1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/>
    <xf numFmtId="164" fontId="1" fillId="0" borderId="1" xfId="0" applyNumberFormat="1" applyFont="1" applyFill="1" applyBorder="1" applyAlignment="1">
      <alignment horizontal="right"/>
    </xf>
    <xf numFmtId="14" fontId="1" fillId="0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4A99-111B-43F8-A955-C5A252DD2A69}">
  <dimension ref="A1:L38"/>
  <sheetViews>
    <sheetView topLeftCell="A8" zoomScale="85" zoomScaleNormal="85" workbookViewId="0">
      <selection activeCell="C2" sqref="C2:L30"/>
    </sheetView>
  </sheetViews>
  <sheetFormatPr baseColWidth="10" defaultRowHeight="15" x14ac:dyDescent="0.25"/>
  <cols>
    <col min="1" max="1" width="10.140625" style="1" customWidth="1"/>
    <col min="2" max="2" width="14.85546875" style="1" customWidth="1"/>
    <col min="3" max="3" width="60.5703125" customWidth="1"/>
    <col min="4" max="5" width="0" style="1" hidden="1" customWidth="1"/>
    <col min="6" max="6" width="31.140625" style="1" hidden="1" customWidth="1"/>
    <col min="7" max="7" width="0" style="2" hidden="1" customWidth="1"/>
    <col min="8" max="9" width="11.42578125" style="1"/>
    <col min="10" max="10" width="11.42578125" style="3"/>
    <col min="11" max="11" width="15.140625" style="1" customWidth="1"/>
    <col min="12" max="12" width="11.42578125" style="40"/>
  </cols>
  <sheetData>
    <row r="1" spans="1:12" ht="22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2" t="s">
        <v>9</v>
      </c>
      <c r="K1" s="10" t="s">
        <v>10</v>
      </c>
      <c r="L1" s="33" t="s">
        <v>11</v>
      </c>
    </row>
    <row r="2" spans="1:12" x14ac:dyDescent="0.25">
      <c r="A2" s="53" t="s">
        <v>12</v>
      </c>
      <c r="B2" s="53" t="s">
        <v>13</v>
      </c>
      <c r="C2" s="54" t="s">
        <v>14</v>
      </c>
      <c r="D2" s="53" t="s">
        <v>15</v>
      </c>
      <c r="E2" s="53" t="s">
        <v>16</v>
      </c>
      <c r="F2" s="53" t="s">
        <v>17</v>
      </c>
      <c r="G2" s="55">
        <v>220</v>
      </c>
      <c r="H2" s="53">
        <v>2</v>
      </c>
      <c r="I2" s="53" t="s">
        <v>18</v>
      </c>
      <c r="J2" s="56">
        <v>46877</v>
      </c>
      <c r="K2" s="53">
        <v>59326005</v>
      </c>
      <c r="L2" s="57">
        <v>440</v>
      </c>
    </row>
    <row r="3" spans="1:12" x14ac:dyDescent="0.25">
      <c r="A3" s="7" t="s">
        <v>12</v>
      </c>
      <c r="B3" s="7" t="s">
        <v>19</v>
      </c>
      <c r="C3" s="6" t="s">
        <v>20</v>
      </c>
      <c r="D3" s="7" t="s">
        <v>15</v>
      </c>
      <c r="E3" s="7" t="s">
        <v>16</v>
      </c>
      <c r="F3" s="7" t="s">
        <v>21</v>
      </c>
      <c r="G3" s="8">
        <v>257</v>
      </c>
      <c r="H3" s="7">
        <v>2</v>
      </c>
      <c r="I3" s="7" t="s">
        <v>18</v>
      </c>
      <c r="J3" s="9">
        <v>46634</v>
      </c>
      <c r="K3" s="7">
        <v>59226002</v>
      </c>
      <c r="L3" s="34">
        <v>514</v>
      </c>
    </row>
    <row r="4" spans="1:12" x14ac:dyDescent="0.25">
      <c r="A4" s="7" t="s">
        <v>22</v>
      </c>
      <c r="B4" s="7" t="s">
        <v>23</v>
      </c>
      <c r="C4" s="6" t="s">
        <v>24</v>
      </c>
      <c r="D4" s="7" t="s">
        <v>15</v>
      </c>
      <c r="E4" s="7" t="s">
        <v>16</v>
      </c>
      <c r="F4" s="7" t="s">
        <v>25</v>
      </c>
      <c r="G4" s="8">
        <v>39.5</v>
      </c>
      <c r="H4" s="7">
        <v>1</v>
      </c>
      <c r="I4" s="7" t="s">
        <v>92</v>
      </c>
      <c r="J4" s="9">
        <v>46625</v>
      </c>
      <c r="K4" s="7">
        <v>142825004</v>
      </c>
      <c r="L4" s="34">
        <v>39.5</v>
      </c>
    </row>
    <row r="5" spans="1:12" x14ac:dyDescent="0.25">
      <c r="A5" s="43" t="s">
        <v>22</v>
      </c>
      <c r="B5" s="43" t="s">
        <v>26</v>
      </c>
      <c r="C5" s="42" t="s">
        <v>27</v>
      </c>
      <c r="D5" s="43" t="s">
        <v>15</v>
      </c>
      <c r="E5" s="43" t="s">
        <v>16</v>
      </c>
      <c r="F5" s="43" t="s">
        <v>28</v>
      </c>
      <c r="G5" s="44">
        <v>29.5</v>
      </c>
      <c r="H5" s="43">
        <v>4</v>
      </c>
      <c r="I5" s="43" t="s">
        <v>93</v>
      </c>
      <c r="J5" s="45">
        <v>46491</v>
      </c>
      <c r="K5" s="43">
        <v>141225015</v>
      </c>
      <c r="L5" s="46">
        <v>118</v>
      </c>
    </row>
    <row r="6" spans="1:12" x14ac:dyDescent="0.25">
      <c r="A6" s="30" t="s">
        <v>22</v>
      </c>
      <c r="B6" s="30" t="s">
        <v>29</v>
      </c>
      <c r="C6" s="29" t="s">
        <v>30</v>
      </c>
      <c r="D6" s="30" t="s">
        <v>15</v>
      </c>
      <c r="E6" s="30" t="s">
        <v>16</v>
      </c>
      <c r="F6" s="30" t="s">
        <v>31</v>
      </c>
      <c r="G6" s="31">
        <v>12.5</v>
      </c>
      <c r="H6" s="30">
        <v>5</v>
      </c>
      <c r="I6" s="30" t="s">
        <v>94</v>
      </c>
      <c r="J6" s="32">
        <v>46448</v>
      </c>
      <c r="K6" s="30">
        <v>148325016</v>
      </c>
      <c r="L6" s="35">
        <v>62.5</v>
      </c>
    </row>
    <row r="7" spans="1:12" x14ac:dyDescent="0.25">
      <c r="A7" s="43" t="s">
        <v>22</v>
      </c>
      <c r="B7" s="43" t="s">
        <v>32</v>
      </c>
      <c r="C7" s="42" t="s">
        <v>33</v>
      </c>
      <c r="D7" s="43" t="s">
        <v>15</v>
      </c>
      <c r="E7" s="43" t="s">
        <v>16</v>
      </c>
      <c r="F7" s="43" t="s">
        <v>34</v>
      </c>
      <c r="G7" s="44">
        <v>23</v>
      </c>
      <c r="H7" s="43">
        <v>5</v>
      </c>
      <c r="I7" s="43" t="s">
        <v>93</v>
      </c>
      <c r="J7" s="45">
        <v>46487</v>
      </c>
      <c r="K7" s="43">
        <v>140125021</v>
      </c>
      <c r="L7" s="46">
        <v>115</v>
      </c>
    </row>
    <row r="8" spans="1:12" x14ac:dyDescent="0.25">
      <c r="A8" s="7" t="s">
        <v>22</v>
      </c>
      <c r="B8" s="7" t="s">
        <v>35</v>
      </c>
      <c r="C8" s="6" t="s">
        <v>36</v>
      </c>
      <c r="D8" s="7" t="s">
        <v>15</v>
      </c>
      <c r="E8" s="7" t="s">
        <v>16</v>
      </c>
      <c r="F8" s="7" t="s">
        <v>37</v>
      </c>
      <c r="G8" s="8">
        <v>195</v>
      </c>
      <c r="H8" s="7">
        <v>1</v>
      </c>
      <c r="I8" s="7" t="s">
        <v>92</v>
      </c>
      <c r="J8" s="9">
        <v>46595</v>
      </c>
      <c r="K8" s="7">
        <v>14926005</v>
      </c>
      <c r="L8" s="34">
        <v>195</v>
      </c>
    </row>
    <row r="9" spans="1:12" x14ac:dyDescent="0.25">
      <c r="A9" s="30" t="s">
        <v>22</v>
      </c>
      <c r="B9" s="30" t="s">
        <v>38</v>
      </c>
      <c r="C9" s="29" t="s">
        <v>39</v>
      </c>
      <c r="D9" s="30" t="s">
        <v>15</v>
      </c>
      <c r="E9" s="30" t="s">
        <v>16</v>
      </c>
      <c r="F9" s="30" t="s">
        <v>34</v>
      </c>
      <c r="G9" s="31">
        <v>23</v>
      </c>
      <c r="H9" s="30">
        <v>5</v>
      </c>
      <c r="I9" s="30" t="s">
        <v>93</v>
      </c>
      <c r="J9" s="32">
        <v>46459</v>
      </c>
      <c r="K9" s="30">
        <v>140225017</v>
      </c>
      <c r="L9" s="35">
        <v>115</v>
      </c>
    </row>
    <row r="10" spans="1:12" x14ac:dyDescent="0.25">
      <c r="A10" s="30" t="s">
        <v>22</v>
      </c>
      <c r="B10" s="30" t="s">
        <v>40</v>
      </c>
      <c r="C10" s="29" t="s">
        <v>41</v>
      </c>
      <c r="D10" s="30" t="s">
        <v>15</v>
      </c>
      <c r="E10" s="30" t="s">
        <v>16</v>
      </c>
      <c r="F10" s="30" t="s">
        <v>42</v>
      </c>
      <c r="G10" s="31">
        <v>13.5</v>
      </c>
      <c r="H10" s="30">
        <v>3</v>
      </c>
      <c r="I10" s="30" t="s">
        <v>93</v>
      </c>
      <c r="J10" s="32">
        <v>46447</v>
      </c>
      <c r="K10" s="30">
        <v>14725012</v>
      </c>
      <c r="L10" s="35">
        <v>40.5</v>
      </c>
    </row>
    <row r="11" spans="1:12" x14ac:dyDescent="0.25">
      <c r="A11" s="43" t="s">
        <v>22</v>
      </c>
      <c r="B11" s="43" t="s">
        <v>43</v>
      </c>
      <c r="C11" s="42" t="s">
        <v>44</v>
      </c>
      <c r="D11" s="43" t="s">
        <v>15</v>
      </c>
      <c r="E11" s="43" t="s">
        <v>16</v>
      </c>
      <c r="F11" s="43" t="s">
        <v>42</v>
      </c>
      <c r="G11" s="44">
        <v>13.5</v>
      </c>
      <c r="H11" s="43">
        <v>3</v>
      </c>
      <c r="I11" s="43" t="s">
        <v>93</v>
      </c>
      <c r="J11" s="45">
        <v>46504</v>
      </c>
      <c r="K11" s="43">
        <v>140625017</v>
      </c>
      <c r="L11" s="46">
        <v>40.5</v>
      </c>
    </row>
    <row r="12" spans="1:12" x14ac:dyDescent="0.25">
      <c r="A12" s="7" t="s">
        <v>22</v>
      </c>
      <c r="B12" s="7" t="s">
        <v>45</v>
      </c>
      <c r="C12" s="6" t="s">
        <v>46</v>
      </c>
      <c r="D12" s="7" t="s">
        <v>15</v>
      </c>
      <c r="E12" s="7" t="s">
        <v>16</v>
      </c>
      <c r="F12" s="7" t="s">
        <v>31</v>
      </c>
      <c r="G12" s="8">
        <v>17</v>
      </c>
      <c r="H12" s="7">
        <v>3</v>
      </c>
      <c r="I12" s="7" t="s">
        <v>94</v>
      </c>
      <c r="J12" s="9">
        <v>46656</v>
      </c>
      <c r="K12" s="7">
        <v>142225008</v>
      </c>
      <c r="L12" s="34">
        <v>51</v>
      </c>
    </row>
    <row r="13" spans="1:12" x14ac:dyDescent="0.25">
      <c r="A13" s="30" t="s">
        <v>22</v>
      </c>
      <c r="B13" s="30" t="s">
        <v>47</v>
      </c>
      <c r="C13" s="29" t="s">
        <v>48</v>
      </c>
      <c r="D13" s="30" t="s">
        <v>15</v>
      </c>
      <c r="E13" s="30" t="s">
        <v>16</v>
      </c>
      <c r="F13" s="30" t="s">
        <v>31</v>
      </c>
      <c r="G13" s="31">
        <v>27</v>
      </c>
      <c r="H13" s="30">
        <v>3</v>
      </c>
      <c r="I13" s="30" t="s">
        <v>94</v>
      </c>
      <c r="J13" s="32">
        <v>46461</v>
      </c>
      <c r="K13" s="30">
        <v>141625015</v>
      </c>
      <c r="L13" s="35">
        <v>81</v>
      </c>
    </row>
    <row r="14" spans="1:12" x14ac:dyDescent="0.25">
      <c r="A14" s="43" t="s">
        <v>22</v>
      </c>
      <c r="B14" s="43" t="s">
        <v>49</v>
      </c>
      <c r="C14" s="42" t="s">
        <v>50</v>
      </c>
      <c r="D14" s="43" t="s">
        <v>15</v>
      </c>
      <c r="E14" s="43" t="s">
        <v>16</v>
      </c>
      <c r="F14" s="43" t="s">
        <v>51</v>
      </c>
      <c r="G14" s="44">
        <v>16</v>
      </c>
      <c r="H14" s="43">
        <v>3</v>
      </c>
      <c r="I14" s="43" t="s">
        <v>92</v>
      </c>
      <c r="J14" s="45">
        <v>46485</v>
      </c>
      <c r="K14" s="43">
        <v>141125019</v>
      </c>
      <c r="L14" s="46">
        <v>48</v>
      </c>
    </row>
    <row r="15" spans="1:12" x14ac:dyDescent="0.25">
      <c r="A15" s="14" t="s">
        <v>22</v>
      </c>
      <c r="B15" s="14" t="s">
        <v>52</v>
      </c>
      <c r="C15" s="13" t="s">
        <v>53</v>
      </c>
      <c r="D15" s="14" t="s">
        <v>15</v>
      </c>
      <c r="E15" s="14" t="s">
        <v>16</v>
      </c>
      <c r="F15" s="14" t="s">
        <v>54</v>
      </c>
      <c r="G15" s="15">
        <v>360</v>
      </c>
      <c r="H15" s="14">
        <v>1</v>
      </c>
      <c r="I15" s="14" t="s">
        <v>93</v>
      </c>
      <c r="J15" s="16" t="s">
        <v>95</v>
      </c>
      <c r="K15" s="14" t="s">
        <v>96</v>
      </c>
      <c r="L15" s="36">
        <v>360</v>
      </c>
    </row>
    <row r="16" spans="1:12" x14ac:dyDescent="0.25">
      <c r="A16" s="7" t="s">
        <v>22</v>
      </c>
      <c r="B16" s="7" t="s">
        <v>55</v>
      </c>
      <c r="C16" s="6" t="s">
        <v>56</v>
      </c>
      <c r="D16" s="7" t="s">
        <v>15</v>
      </c>
      <c r="E16" s="7" t="s">
        <v>16</v>
      </c>
      <c r="F16" s="7" t="s">
        <v>31</v>
      </c>
      <c r="G16" s="8">
        <v>15</v>
      </c>
      <c r="H16" s="7">
        <v>0</v>
      </c>
      <c r="I16" s="7" t="s">
        <v>94</v>
      </c>
      <c r="J16" s="9"/>
      <c r="K16" s="7"/>
      <c r="L16" s="34">
        <v>0</v>
      </c>
    </row>
    <row r="17" spans="1:12" x14ac:dyDescent="0.25">
      <c r="A17" s="30" t="s">
        <v>22</v>
      </c>
      <c r="B17" s="30" t="s">
        <v>57</v>
      </c>
      <c r="C17" s="29" t="s">
        <v>58</v>
      </c>
      <c r="D17" s="30" t="s">
        <v>15</v>
      </c>
      <c r="E17" s="30" t="s">
        <v>16</v>
      </c>
      <c r="F17" s="30" t="s">
        <v>59</v>
      </c>
      <c r="G17" s="31">
        <v>16.5</v>
      </c>
      <c r="H17" s="30">
        <v>4</v>
      </c>
      <c r="I17" s="30" t="s">
        <v>93</v>
      </c>
      <c r="J17" s="32">
        <v>46457</v>
      </c>
      <c r="K17" s="30">
        <v>140325012</v>
      </c>
      <c r="L17" s="35">
        <v>66</v>
      </c>
    </row>
    <row r="18" spans="1:12" x14ac:dyDescent="0.25">
      <c r="A18" s="30" t="s">
        <v>22</v>
      </c>
      <c r="B18" s="30" t="s">
        <v>60</v>
      </c>
      <c r="C18" s="29" t="s">
        <v>61</v>
      </c>
      <c r="D18" s="30" t="s">
        <v>15</v>
      </c>
      <c r="E18" s="30" t="s">
        <v>16</v>
      </c>
      <c r="F18" s="30" t="s">
        <v>62</v>
      </c>
      <c r="G18" s="31">
        <v>35.5</v>
      </c>
      <c r="H18" s="30">
        <v>2</v>
      </c>
      <c r="I18" s="30" t="s">
        <v>93</v>
      </c>
      <c r="J18" s="32">
        <v>46465</v>
      </c>
      <c r="K18" s="30">
        <v>140425014</v>
      </c>
      <c r="L18" s="35">
        <v>71</v>
      </c>
    </row>
    <row r="19" spans="1:12" x14ac:dyDescent="0.25">
      <c r="A19" s="30" t="s">
        <v>22</v>
      </c>
      <c r="B19" s="30" t="s">
        <v>63</v>
      </c>
      <c r="C19" s="29" t="s">
        <v>64</v>
      </c>
      <c r="D19" s="30" t="s">
        <v>15</v>
      </c>
      <c r="E19" s="30" t="s">
        <v>16</v>
      </c>
      <c r="F19" s="30" t="s">
        <v>28</v>
      </c>
      <c r="G19" s="31">
        <v>17.5</v>
      </c>
      <c r="H19" s="30">
        <v>3</v>
      </c>
      <c r="I19" s="30" t="s">
        <v>93</v>
      </c>
      <c r="J19" s="32">
        <v>46451</v>
      </c>
      <c r="K19" s="30">
        <v>141525011</v>
      </c>
      <c r="L19" s="35">
        <v>52.5</v>
      </c>
    </row>
    <row r="20" spans="1:12" x14ac:dyDescent="0.25">
      <c r="A20" s="7" t="s">
        <v>22</v>
      </c>
      <c r="B20" s="7" t="s">
        <v>65</v>
      </c>
      <c r="C20" s="6" t="s">
        <v>66</v>
      </c>
      <c r="D20" s="7" t="s">
        <v>15</v>
      </c>
      <c r="E20" s="7" t="s">
        <v>16</v>
      </c>
      <c r="F20" s="7" t="s">
        <v>28</v>
      </c>
      <c r="G20" s="8">
        <v>17.5</v>
      </c>
      <c r="H20" s="7">
        <v>0</v>
      </c>
      <c r="I20" s="7" t="s">
        <v>93</v>
      </c>
      <c r="J20" s="9"/>
      <c r="K20" s="7"/>
      <c r="L20" s="34">
        <v>0</v>
      </c>
    </row>
    <row r="21" spans="1:12" x14ac:dyDescent="0.25">
      <c r="A21" s="24" t="s">
        <v>22</v>
      </c>
      <c r="B21" s="24" t="s">
        <v>67</v>
      </c>
      <c r="C21" s="23" t="s">
        <v>68</v>
      </c>
      <c r="D21" s="24" t="s">
        <v>15</v>
      </c>
      <c r="E21" s="24" t="s">
        <v>16</v>
      </c>
      <c r="F21" s="24" t="s">
        <v>69</v>
      </c>
      <c r="G21" s="25">
        <v>51.5</v>
      </c>
      <c r="H21" s="24">
        <v>1</v>
      </c>
      <c r="I21" s="24" t="s">
        <v>93</v>
      </c>
      <c r="J21" s="26">
        <v>46420</v>
      </c>
      <c r="K21" s="24">
        <v>145325010</v>
      </c>
      <c r="L21" s="37">
        <v>51.5</v>
      </c>
    </row>
    <row r="22" spans="1:12" x14ac:dyDescent="0.25">
      <c r="A22" s="24" t="s">
        <v>22</v>
      </c>
      <c r="B22" s="24" t="s">
        <v>70</v>
      </c>
      <c r="C22" s="23" t="s">
        <v>71</v>
      </c>
      <c r="D22" s="24" t="s">
        <v>15</v>
      </c>
      <c r="E22" s="24" t="s">
        <v>16</v>
      </c>
      <c r="F22" s="24" t="s">
        <v>28</v>
      </c>
      <c r="G22" s="25">
        <v>43</v>
      </c>
      <c r="H22" s="24">
        <v>2</v>
      </c>
      <c r="I22" s="24" t="s">
        <v>93</v>
      </c>
      <c r="J22" s="26">
        <v>46427</v>
      </c>
      <c r="K22" s="24">
        <v>142725002</v>
      </c>
      <c r="L22" s="37">
        <v>86</v>
      </c>
    </row>
    <row r="23" spans="1:12" x14ac:dyDescent="0.25">
      <c r="A23" s="24" t="s">
        <v>22</v>
      </c>
      <c r="B23" s="24" t="s">
        <v>72</v>
      </c>
      <c r="C23" s="23" t="s">
        <v>73</v>
      </c>
      <c r="D23" s="24" t="s">
        <v>15</v>
      </c>
      <c r="E23" s="24" t="s">
        <v>16</v>
      </c>
      <c r="F23" s="24" t="s">
        <v>74</v>
      </c>
      <c r="G23" s="25">
        <v>69</v>
      </c>
      <c r="H23" s="24">
        <v>1</v>
      </c>
      <c r="I23" s="24" t="s">
        <v>93</v>
      </c>
      <c r="J23" s="26">
        <v>46433</v>
      </c>
      <c r="K23" s="24" t="s">
        <v>97</v>
      </c>
      <c r="L23" s="37">
        <v>69</v>
      </c>
    </row>
    <row r="24" spans="1:12" x14ac:dyDescent="0.25">
      <c r="A24" s="7" t="s">
        <v>22</v>
      </c>
      <c r="B24" s="7" t="s">
        <v>75</v>
      </c>
      <c r="C24" s="6" t="s">
        <v>76</v>
      </c>
      <c r="D24" s="7" t="s">
        <v>15</v>
      </c>
      <c r="E24" s="7" t="s">
        <v>16</v>
      </c>
      <c r="F24" s="7" t="s">
        <v>77</v>
      </c>
      <c r="G24" s="8">
        <v>60.5</v>
      </c>
      <c r="H24" s="7">
        <v>0</v>
      </c>
      <c r="I24" s="7" t="s">
        <v>92</v>
      </c>
      <c r="J24" s="9"/>
      <c r="K24" s="7"/>
      <c r="L24" s="34">
        <v>0</v>
      </c>
    </row>
    <row r="25" spans="1:12" x14ac:dyDescent="0.25">
      <c r="A25" s="20" t="s">
        <v>22</v>
      </c>
      <c r="B25" s="20" t="s">
        <v>78</v>
      </c>
      <c r="C25" s="19" t="s">
        <v>79</v>
      </c>
      <c r="D25" s="20" t="s">
        <v>15</v>
      </c>
      <c r="E25" s="20" t="s">
        <v>16</v>
      </c>
      <c r="F25" s="20" t="s">
        <v>80</v>
      </c>
      <c r="G25" s="21">
        <v>131</v>
      </c>
      <c r="H25" s="20">
        <v>1</v>
      </c>
      <c r="I25" s="20" t="s">
        <v>92</v>
      </c>
      <c r="J25" s="22">
        <v>46401</v>
      </c>
      <c r="K25" s="20">
        <v>142625007</v>
      </c>
      <c r="L25" s="38">
        <v>131</v>
      </c>
    </row>
    <row r="26" spans="1:12" x14ac:dyDescent="0.25">
      <c r="A26" s="30" t="s">
        <v>22</v>
      </c>
      <c r="B26" s="30" t="s">
        <v>81</v>
      </c>
      <c r="C26" s="29" t="s">
        <v>82</v>
      </c>
      <c r="D26" s="30" t="s">
        <v>15</v>
      </c>
      <c r="E26" s="30" t="s">
        <v>16</v>
      </c>
      <c r="F26" s="30" t="s">
        <v>31</v>
      </c>
      <c r="G26" s="31">
        <v>11.5</v>
      </c>
      <c r="H26" s="30">
        <v>5</v>
      </c>
      <c r="I26" s="30" t="s">
        <v>94</v>
      </c>
      <c r="J26" s="32">
        <v>46456</v>
      </c>
      <c r="K26" s="30">
        <v>140825005</v>
      </c>
      <c r="L26" s="35">
        <v>57.5</v>
      </c>
    </row>
    <row r="27" spans="1:12" x14ac:dyDescent="0.25">
      <c r="A27" s="7" t="s">
        <v>22</v>
      </c>
      <c r="B27" s="7" t="s">
        <v>83</v>
      </c>
      <c r="C27" s="6" t="s">
        <v>84</v>
      </c>
      <c r="D27" s="7" t="s">
        <v>15</v>
      </c>
      <c r="E27" s="7" t="s">
        <v>16</v>
      </c>
      <c r="F27" s="7" t="s">
        <v>85</v>
      </c>
      <c r="G27" s="8">
        <v>152</v>
      </c>
      <c r="H27" s="7">
        <v>1</v>
      </c>
      <c r="I27" s="7" t="s">
        <v>93</v>
      </c>
      <c r="J27" s="9">
        <v>46644</v>
      </c>
      <c r="K27" s="7" t="s">
        <v>98</v>
      </c>
      <c r="L27" s="34">
        <v>152</v>
      </c>
    </row>
    <row r="28" spans="1:12" x14ac:dyDescent="0.25">
      <c r="A28" s="7" t="s">
        <v>22</v>
      </c>
      <c r="B28" s="7" t="s">
        <v>86</v>
      </c>
      <c r="C28" s="6" t="s">
        <v>87</v>
      </c>
      <c r="D28" s="7" t="s">
        <v>15</v>
      </c>
      <c r="E28" s="7" t="s">
        <v>16</v>
      </c>
      <c r="F28" s="7" t="s">
        <v>31</v>
      </c>
      <c r="G28" s="8">
        <v>57.5</v>
      </c>
      <c r="H28" s="7">
        <v>6</v>
      </c>
      <c r="I28" s="7" t="s">
        <v>94</v>
      </c>
      <c r="J28" s="9">
        <v>46654</v>
      </c>
      <c r="K28" s="7">
        <v>141725011</v>
      </c>
      <c r="L28" s="34">
        <v>345</v>
      </c>
    </row>
    <row r="29" spans="1:12" x14ac:dyDescent="0.25">
      <c r="A29" s="7" t="s">
        <v>22</v>
      </c>
      <c r="B29" s="7" t="s">
        <v>88</v>
      </c>
      <c r="C29" s="6" t="s">
        <v>89</v>
      </c>
      <c r="D29" s="7" t="s">
        <v>15</v>
      </c>
      <c r="E29" s="7" t="s">
        <v>16</v>
      </c>
      <c r="F29" s="7" t="s">
        <v>90</v>
      </c>
      <c r="G29" s="8">
        <v>19.5</v>
      </c>
      <c r="H29" s="7">
        <v>0</v>
      </c>
      <c r="I29" s="7" t="s">
        <v>93</v>
      </c>
      <c r="J29" s="9"/>
      <c r="K29" s="7"/>
      <c r="L29" s="34">
        <v>0</v>
      </c>
    </row>
    <row r="30" spans="1:12" x14ac:dyDescent="0.25">
      <c r="L30" s="39">
        <v>2347.5</v>
      </c>
    </row>
    <row r="31" spans="1:12" x14ac:dyDescent="0.25">
      <c r="C31" s="5" t="s">
        <v>99</v>
      </c>
    </row>
    <row r="32" spans="1:12" x14ac:dyDescent="0.25">
      <c r="C32" s="17">
        <v>46327</v>
      </c>
      <c r="D32" s="47">
        <v>360</v>
      </c>
    </row>
    <row r="33" spans="3:4" x14ac:dyDescent="0.25">
      <c r="C33" s="18">
        <v>46388</v>
      </c>
      <c r="D33" s="48">
        <v>131</v>
      </c>
    </row>
    <row r="34" spans="3:4" x14ac:dyDescent="0.25">
      <c r="C34" s="27">
        <v>46419</v>
      </c>
      <c r="D34" s="49">
        <v>206.5</v>
      </c>
    </row>
    <row r="35" spans="3:4" x14ac:dyDescent="0.25">
      <c r="C35" s="28">
        <v>46447</v>
      </c>
      <c r="D35" s="50">
        <v>546</v>
      </c>
    </row>
    <row r="36" spans="3:4" x14ac:dyDescent="0.25">
      <c r="C36" s="41">
        <v>46478</v>
      </c>
      <c r="D36" s="51">
        <v>321.5</v>
      </c>
    </row>
    <row r="37" spans="3:4" x14ac:dyDescent="0.25">
      <c r="C37" s="59" t="s">
        <v>100</v>
      </c>
      <c r="D37" s="58">
        <f>L2+L3+L4+L8+L12+L27+L28</f>
        <v>1736.5</v>
      </c>
    </row>
    <row r="38" spans="3:4" x14ac:dyDescent="0.25">
      <c r="C38" s="4" t="s">
        <v>91</v>
      </c>
      <c r="D38" s="52">
        <v>867.5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C322-936A-413C-BB02-370CBF5E2472}">
  <dimension ref="B2:AC33"/>
  <sheetViews>
    <sheetView tabSelected="1" topLeftCell="A20" workbookViewId="0">
      <selection activeCell="B2" sqref="B2:AC33"/>
    </sheetView>
  </sheetViews>
  <sheetFormatPr baseColWidth="10" defaultRowHeight="15" x14ac:dyDescent="0.25"/>
  <sheetData>
    <row r="2" spans="2:29" ht="22.5" x14ac:dyDescent="0.25">
      <c r="B2" s="60" t="s">
        <v>0</v>
      </c>
      <c r="C2" s="60" t="s">
        <v>101</v>
      </c>
      <c r="D2" s="60" t="s">
        <v>102</v>
      </c>
      <c r="E2" s="60" t="s">
        <v>103</v>
      </c>
      <c r="F2" s="60" t="s">
        <v>104</v>
      </c>
      <c r="G2" s="61" t="s">
        <v>1</v>
      </c>
      <c r="H2" s="62" t="s">
        <v>2</v>
      </c>
      <c r="I2" s="60" t="s">
        <v>3</v>
      </c>
      <c r="J2" s="60" t="s">
        <v>4</v>
      </c>
      <c r="K2" s="63" t="s">
        <v>105</v>
      </c>
      <c r="L2" s="63" t="s">
        <v>106</v>
      </c>
      <c r="M2" s="63" t="s">
        <v>107</v>
      </c>
      <c r="N2" s="63" t="s">
        <v>108</v>
      </c>
      <c r="O2" s="63" t="s">
        <v>109</v>
      </c>
      <c r="P2" s="64" t="s">
        <v>6</v>
      </c>
      <c r="Q2" s="63" t="s">
        <v>110</v>
      </c>
      <c r="R2" s="63" t="s">
        <v>111</v>
      </c>
      <c r="S2" s="63" t="s">
        <v>112</v>
      </c>
      <c r="T2" s="63" t="s">
        <v>113</v>
      </c>
      <c r="U2" s="61" t="s">
        <v>114</v>
      </c>
      <c r="V2" s="61" t="s">
        <v>115</v>
      </c>
      <c r="W2" s="61" t="s">
        <v>116</v>
      </c>
      <c r="X2" s="65" t="s">
        <v>7</v>
      </c>
      <c r="Y2" s="63" t="s">
        <v>8</v>
      </c>
      <c r="Z2" s="66" t="s">
        <v>117</v>
      </c>
      <c r="AA2" s="63" t="s">
        <v>9</v>
      </c>
      <c r="AB2" s="63" t="s">
        <v>10</v>
      </c>
      <c r="AC2" s="63" t="s">
        <v>118</v>
      </c>
    </row>
    <row r="3" spans="2:29" ht="33.75" x14ac:dyDescent="0.25">
      <c r="B3" s="67" t="s">
        <v>22</v>
      </c>
      <c r="C3" s="68"/>
      <c r="D3" s="69" t="s">
        <v>119</v>
      </c>
      <c r="E3" s="68"/>
      <c r="F3" s="68">
        <v>1008113</v>
      </c>
      <c r="G3" s="68"/>
      <c r="H3" s="70" t="s">
        <v>120</v>
      </c>
      <c r="I3" s="68" t="s">
        <v>121</v>
      </c>
      <c r="J3" s="68" t="s">
        <v>122</v>
      </c>
      <c r="K3" s="69" t="s">
        <v>123</v>
      </c>
      <c r="L3" s="71"/>
      <c r="M3" s="71">
        <v>2</v>
      </c>
      <c r="N3" s="71">
        <v>45</v>
      </c>
      <c r="O3" s="71">
        <v>90</v>
      </c>
      <c r="P3" s="72">
        <v>147.11000000000001</v>
      </c>
      <c r="Q3" s="72"/>
      <c r="R3" s="72"/>
      <c r="S3" s="72"/>
      <c r="T3" s="68" t="s">
        <v>124</v>
      </c>
      <c r="U3" s="68">
        <v>2</v>
      </c>
      <c r="V3" s="68">
        <v>4</v>
      </c>
      <c r="W3" s="68">
        <v>6</v>
      </c>
      <c r="X3" s="73">
        <v>1</v>
      </c>
      <c r="Y3" s="67" t="s">
        <v>93</v>
      </c>
      <c r="Z3" s="67"/>
      <c r="AA3" s="74">
        <v>46507</v>
      </c>
      <c r="AB3" s="67" t="s">
        <v>125</v>
      </c>
      <c r="AC3" s="67" t="s">
        <v>126</v>
      </c>
    </row>
    <row r="4" spans="2:29" x14ac:dyDescent="0.25">
      <c r="B4" s="67" t="s">
        <v>22</v>
      </c>
      <c r="C4" s="75"/>
      <c r="D4" s="67" t="s">
        <v>127</v>
      </c>
      <c r="E4" s="75"/>
      <c r="F4" s="67">
        <v>1008156</v>
      </c>
      <c r="G4" s="67"/>
      <c r="H4" s="76" t="s">
        <v>128</v>
      </c>
      <c r="I4" s="68" t="s">
        <v>121</v>
      </c>
      <c r="J4" s="77" t="s">
        <v>122</v>
      </c>
      <c r="K4" s="78" t="s">
        <v>129</v>
      </c>
      <c r="L4" s="73"/>
      <c r="M4" s="73">
        <v>3</v>
      </c>
      <c r="N4" s="73">
        <v>40</v>
      </c>
      <c r="O4" s="71">
        <v>120</v>
      </c>
      <c r="P4" s="72">
        <v>7.48</v>
      </c>
      <c r="Q4" s="72"/>
      <c r="R4" s="72"/>
      <c r="S4" s="72"/>
      <c r="T4" s="68" t="s">
        <v>124</v>
      </c>
      <c r="U4" s="68">
        <v>2</v>
      </c>
      <c r="V4" s="68">
        <v>4</v>
      </c>
      <c r="W4" s="68">
        <v>6</v>
      </c>
      <c r="X4" s="79">
        <v>3</v>
      </c>
      <c r="Y4" s="75" t="s">
        <v>130</v>
      </c>
      <c r="Z4" s="75"/>
      <c r="AA4" s="80">
        <v>47087</v>
      </c>
      <c r="AB4" s="75" t="s">
        <v>131</v>
      </c>
      <c r="AC4" s="67" t="s">
        <v>126</v>
      </c>
    </row>
    <row r="5" spans="2:29" ht="22.5" x14ac:dyDescent="0.25">
      <c r="B5" s="67" t="s">
        <v>22</v>
      </c>
      <c r="C5" s="67"/>
      <c r="D5" s="67" t="s">
        <v>132</v>
      </c>
      <c r="E5" s="67"/>
      <c r="F5" s="68">
        <v>1008110</v>
      </c>
      <c r="G5" s="69" t="s">
        <v>133</v>
      </c>
      <c r="H5" s="70" t="s">
        <v>134</v>
      </c>
      <c r="I5" s="68" t="s">
        <v>121</v>
      </c>
      <c r="J5" s="68" t="s">
        <v>122</v>
      </c>
      <c r="K5" s="69" t="s">
        <v>123</v>
      </c>
      <c r="L5" s="73"/>
      <c r="M5" s="73">
        <v>2</v>
      </c>
      <c r="N5" s="73">
        <v>45</v>
      </c>
      <c r="O5" s="71">
        <v>90</v>
      </c>
      <c r="P5" s="72">
        <v>25.17</v>
      </c>
      <c r="Q5" s="72"/>
      <c r="R5" s="72"/>
      <c r="S5" s="72"/>
      <c r="T5" s="68" t="s">
        <v>124</v>
      </c>
      <c r="U5" s="68">
        <v>2</v>
      </c>
      <c r="V5" s="68">
        <v>4</v>
      </c>
      <c r="W5" s="68">
        <v>6</v>
      </c>
      <c r="X5" s="73">
        <v>3</v>
      </c>
      <c r="Y5" s="67" t="s">
        <v>93</v>
      </c>
      <c r="Z5" s="67"/>
      <c r="AA5" s="74">
        <v>46568</v>
      </c>
      <c r="AB5" s="67" t="s">
        <v>135</v>
      </c>
      <c r="AC5" s="67" t="s">
        <v>126</v>
      </c>
    </row>
    <row r="6" spans="2:29" ht="33.75" x14ac:dyDescent="0.25">
      <c r="B6" s="67" t="s">
        <v>22</v>
      </c>
      <c r="C6" s="75"/>
      <c r="D6" s="67" t="s">
        <v>136</v>
      </c>
      <c r="E6" s="75"/>
      <c r="F6" s="68">
        <v>1008116</v>
      </c>
      <c r="G6" s="81"/>
      <c r="H6" s="70" t="s">
        <v>137</v>
      </c>
      <c r="I6" s="68" t="s">
        <v>121</v>
      </c>
      <c r="J6" s="68" t="s">
        <v>122</v>
      </c>
      <c r="K6" s="69" t="s">
        <v>138</v>
      </c>
      <c r="L6" s="73"/>
      <c r="M6" s="73">
        <v>4</v>
      </c>
      <c r="N6" s="73">
        <v>42</v>
      </c>
      <c r="O6" s="71">
        <v>168</v>
      </c>
      <c r="P6" s="72">
        <v>34.1</v>
      </c>
      <c r="Q6" s="72"/>
      <c r="R6" s="72"/>
      <c r="S6" s="72"/>
      <c r="T6" s="68" t="s">
        <v>124</v>
      </c>
      <c r="U6" s="68">
        <v>2</v>
      </c>
      <c r="V6" s="68">
        <v>4</v>
      </c>
      <c r="W6" s="68">
        <v>6</v>
      </c>
      <c r="X6" s="79">
        <v>2</v>
      </c>
      <c r="Y6" s="75" t="s">
        <v>94</v>
      </c>
      <c r="Z6" s="75"/>
      <c r="AA6" s="74">
        <v>46568</v>
      </c>
      <c r="AB6" s="75" t="s">
        <v>139</v>
      </c>
      <c r="AC6" s="67" t="s">
        <v>126</v>
      </c>
    </row>
    <row r="7" spans="2:29" ht="33.75" x14ac:dyDescent="0.25">
      <c r="B7" s="67" t="s">
        <v>22</v>
      </c>
      <c r="C7" s="75"/>
      <c r="D7" s="67" t="s">
        <v>140</v>
      </c>
      <c r="E7" s="75"/>
      <c r="F7" s="68">
        <v>1008115</v>
      </c>
      <c r="G7" s="81"/>
      <c r="H7" s="70" t="s">
        <v>141</v>
      </c>
      <c r="I7" s="68" t="s">
        <v>121</v>
      </c>
      <c r="J7" s="68" t="s">
        <v>122</v>
      </c>
      <c r="K7" s="69" t="s">
        <v>138</v>
      </c>
      <c r="L7" s="73"/>
      <c r="M7" s="73">
        <v>4</v>
      </c>
      <c r="N7" s="73">
        <v>42</v>
      </c>
      <c r="O7" s="71">
        <v>168</v>
      </c>
      <c r="P7" s="72">
        <v>34.1</v>
      </c>
      <c r="Q7" s="72"/>
      <c r="R7" s="72"/>
      <c r="S7" s="72"/>
      <c r="T7" s="68" t="s">
        <v>124</v>
      </c>
      <c r="U7" s="68">
        <v>2</v>
      </c>
      <c r="V7" s="68">
        <v>4</v>
      </c>
      <c r="W7" s="68">
        <v>6</v>
      </c>
      <c r="X7" s="79">
        <v>2.25</v>
      </c>
      <c r="Y7" s="75" t="s">
        <v>94</v>
      </c>
      <c r="Z7" s="75"/>
      <c r="AA7" s="74">
        <v>46568</v>
      </c>
      <c r="AB7" s="75" t="s">
        <v>142</v>
      </c>
      <c r="AC7" s="67" t="s">
        <v>126</v>
      </c>
    </row>
    <row r="8" spans="2:29" ht="22.5" x14ac:dyDescent="0.25">
      <c r="B8" s="67" t="s">
        <v>22</v>
      </c>
      <c r="C8" s="75"/>
      <c r="D8" s="67" t="s">
        <v>143</v>
      </c>
      <c r="E8" s="75"/>
      <c r="F8" s="68">
        <v>1008162</v>
      </c>
      <c r="G8" s="68"/>
      <c r="H8" s="70" t="s">
        <v>144</v>
      </c>
      <c r="I8" s="68" t="s">
        <v>121</v>
      </c>
      <c r="J8" s="68" t="s">
        <v>122</v>
      </c>
      <c r="K8" s="69" t="s">
        <v>145</v>
      </c>
      <c r="L8" s="73"/>
      <c r="M8" s="73">
        <v>2</v>
      </c>
      <c r="N8" s="73">
        <v>55</v>
      </c>
      <c r="O8" s="71">
        <v>110</v>
      </c>
      <c r="P8" s="72">
        <v>16.34</v>
      </c>
      <c r="Q8" s="72"/>
      <c r="R8" s="72"/>
      <c r="S8" s="72"/>
      <c r="T8" s="68" t="s">
        <v>124</v>
      </c>
      <c r="U8" s="68">
        <v>2</v>
      </c>
      <c r="V8" s="68">
        <v>4</v>
      </c>
      <c r="W8" s="68">
        <v>6</v>
      </c>
      <c r="X8" s="79">
        <v>5</v>
      </c>
      <c r="Y8" s="67" t="s">
        <v>93</v>
      </c>
      <c r="Z8" s="75"/>
      <c r="AA8" s="80">
        <v>46691</v>
      </c>
      <c r="AB8" s="75" t="s">
        <v>146</v>
      </c>
      <c r="AC8" s="67" t="s">
        <v>126</v>
      </c>
    </row>
    <row r="9" spans="2:29" ht="22.5" x14ac:dyDescent="0.25">
      <c r="B9" s="67" t="s">
        <v>22</v>
      </c>
      <c r="C9" s="75"/>
      <c r="D9" s="67" t="s">
        <v>147</v>
      </c>
      <c r="E9" s="75"/>
      <c r="F9" s="69">
        <v>1271361</v>
      </c>
      <c r="G9" s="68"/>
      <c r="H9" s="70" t="s">
        <v>148</v>
      </c>
      <c r="I9" s="68" t="s">
        <v>121</v>
      </c>
      <c r="J9" s="68" t="s">
        <v>122</v>
      </c>
      <c r="K9" s="69" t="s">
        <v>149</v>
      </c>
      <c r="L9" s="73"/>
      <c r="M9" s="73">
        <v>1</v>
      </c>
      <c r="N9" s="73">
        <v>60</v>
      </c>
      <c r="O9" s="71">
        <v>60</v>
      </c>
      <c r="P9" s="72">
        <v>162.06</v>
      </c>
      <c r="Q9" s="72"/>
      <c r="R9" s="72"/>
      <c r="S9" s="72"/>
      <c r="T9" s="68" t="s">
        <v>124</v>
      </c>
      <c r="U9" s="68">
        <v>2</v>
      </c>
      <c r="V9" s="68">
        <v>4</v>
      </c>
      <c r="W9" s="68">
        <v>6</v>
      </c>
      <c r="X9" s="79">
        <v>0</v>
      </c>
      <c r="Y9" s="75"/>
      <c r="Z9" s="75"/>
      <c r="AA9" s="75"/>
      <c r="AB9" s="75"/>
      <c r="AC9" s="67" t="s">
        <v>126</v>
      </c>
    </row>
    <row r="10" spans="2:29" ht="33.75" x14ac:dyDescent="0.25">
      <c r="B10" s="67" t="s">
        <v>22</v>
      </c>
      <c r="C10" s="75"/>
      <c r="D10" s="67" t="s">
        <v>150</v>
      </c>
      <c r="E10" s="75"/>
      <c r="F10" s="67">
        <v>1008157</v>
      </c>
      <c r="G10" s="67"/>
      <c r="H10" s="76" t="s">
        <v>151</v>
      </c>
      <c r="I10" s="68" t="s">
        <v>121</v>
      </c>
      <c r="J10" s="77" t="s">
        <v>122</v>
      </c>
      <c r="K10" s="78" t="s">
        <v>152</v>
      </c>
      <c r="L10" s="73"/>
      <c r="M10" s="73">
        <v>6</v>
      </c>
      <c r="N10" s="73">
        <v>55</v>
      </c>
      <c r="O10" s="71">
        <f t="shared" ref="O10:O11" si="0">SUM(M10*N10)</f>
        <v>330</v>
      </c>
      <c r="P10" s="72">
        <v>76.92</v>
      </c>
      <c r="Q10" s="72"/>
      <c r="R10" s="72"/>
      <c r="S10" s="72"/>
      <c r="T10" s="68" t="s">
        <v>124</v>
      </c>
      <c r="U10" s="68">
        <v>2</v>
      </c>
      <c r="V10" s="68">
        <v>4</v>
      </c>
      <c r="W10" s="68">
        <v>6</v>
      </c>
      <c r="X10" s="79">
        <v>1</v>
      </c>
      <c r="Y10" s="75" t="s">
        <v>153</v>
      </c>
      <c r="Z10" s="75"/>
      <c r="AA10" s="80">
        <v>46446</v>
      </c>
      <c r="AB10" s="75">
        <v>1027020</v>
      </c>
      <c r="AC10" s="67" t="s">
        <v>126</v>
      </c>
    </row>
    <row r="11" spans="2:29" ht="33.75" x14ac:dyDescent="0.25">
      <c r="B11" s="67"/>
      <c r="C11" s="75"/>
      <c r="D11" s="67"/>
      <c r="E11" s="75"/>
      <c r="F11" s="67">
        <v>1008157</v>
      </c>
      <c r="G11" s="67"/>
      <c r="H11" s="76" t="s">
        <v>151</v>
      </c>
      <c r="I11" s="68" t="s">
        <v>121</v>
      </c>
      <c r="J11" s="77" t="s">
        <v>122</v>
      </c>
      <c r="K11" s="78" t="s">
        <v>152</v>
      </c>
      <c r="L11" s="73"/>
      <c r="M11" s="73">
        <v>6</v>
      </c>
      <c r="N11" s="73">
        <v>55</v>
      </c>
      <c r="O11" s="71">
        <f t="shared" si="0"/>
        <v>330</v>
      </c>
      <c r="P11" s="72">
        <v>76.92</v>
      </c>
      <c r="Q11" s="72"/>
      <c r="R11" s="72"/>
      <c r="S11" s="72"/>
      <c r="T11" s="68" t="s">
        <v>124</v>
      </c>
      <c r="U11" s="68">
        <v>2</v>
      </c>
      <c r="V11" s="68">
        <v>4</v>
      </c>
      <c r="W11" s="68">
        <v>6</v>
      </c>
      <c r="X11" s="79">
        <v>1</v>
      </c>
      <c r="Y11" s="75" t="s">
        <v>153</v>
      </c>
      <c r="Z11" s="75"/>
      <c r="AA11" s="80">
        <v>46568</v>
      </c>
      <c r="AB11" s="75" t="s">
        <v>154</v>
      </c>
      <c r="AC11" s="67" t="s">
        <v>126</v>
      </c>
    </row>
    <row r="12" spans="2:29" ht="33.75" x14ac:dyDescent="0.25">
      <c r="B12" s="67" t="s">
        <v>22</v>
      </c>
      <c r="C12" s="75"/>
      <c r="D12" s="67" t="s">
        <v>155</v>
      </c>
      <c r="E12" s="75"/>
      <c r="F12" s="78">
        <v>1008107</v>
      </c>
      <c r="G12" s="67"/>
      <c r="H12" s="76" t="s">
        <v>156</v>
      </c>
      <c r="I12" s="68" t="s">
        <v>121</v>
      </c>
      <c r="J12" s="67" t="s">
        <v>122</v>
      </c>
      <c r="K12" s="78" t="s">
        <v>157</v>
      </c>
      <c r="L12" s="73"/>
      <c r="M12" s="73">
        <v>4</v>
      </c>
      <c r="N12" s="73">
        <v>45</v>
      </c>
      <c r="O12" s="71">
        <v>180</v>
      </c>
      <c r="P12" s="72">
        <v>18.12</v>
      </c>
      <c r="Q12" s="72"/>
      <c r="R12" s="72"/>
      <c r="S12" s="72"/>
      <c r="T12" s="68" t="s">
        <v>124</v>
      </c>
      <c r="U12" s="68">
        <v>2</v>
      </c>
      <c r="V12" s="68">
        <v>4</v>
      </c>
      <c r="W12" s="68">
        <v>6</v>
      </c>
      <c r="X12" s="79">
        <v>1</v>
      </c>
      <c r="Y12" s="75" t="s">
        <v>94</v>
      </c>
      <c r="Z12" s="75"/>
      <c r="AA12" s="80">
        <v>46568</v>
      </c>
      <c r="AB12" s="75" t="s">
        <v>158</v>
      </c>
      <c r="AC12" s="67" t="s">
        <v>126</v>
      </c>
    </row>
    <row r="13" spans="2:29" ht="33.75" x14ac:dyDescent="0.25">
      <c r="B13" s="67" t="s">
        <v>22</v>
      </c>
      <c r="C13" s="67"/>
      <c r="D13" s="67" t="s">
        <v>159</v>
      </c>
      <c r="E13" s="67"/>
      <c r="F13" s="68">
        <v>1492360</v>
      </c>
      <c r="G13" s="68"/>
      <c r="H13" s="70" t="s">
        <v>160</v>
      </c>
      <c r="I13" s="68" t="s">
        <v>121</v>
      </c>
      <c r="J13" s="68" t="s">
        <v>122</v>
      </c>
      <c r="K13" s="69" t="s">
        <v>161</v>
      </c>
      <c r="L13" s="73"/>
      <c r="M13" s="73">
        <v>1</v>
      </c>
      <c r="N13" s="73">
        <v>140</v>
      </c>
      <c r="O13" s="71">
        <v>140</v>
      </c>
      <c r="P13" s="72">
        <v>49.07</v>
      </c>
      <c r="Q13" s="72"/>
      <c r="R13" s="72"/>
      <c r="S13" s="72"/>
      <c r="T13" s="68" t="s">
        <v>124</v>
      </c>
      <c r="U13" s="68">
        <v>2</v>
      </c>
      <c r="V13" s="68">
        <v>4</v>
      </c>
      <c r="W13" s="68">
        <v>6</v>
      </c>
      <c r="X13" s="73">
        <v>3</v>
      </c>
      <c r="Y13" s="67" t="s">
        <v>92</v>
      </c>
      <c r="Z13" s="67"/>
      <c r="AA13" s="74">
        <v>46630</v>
      </c>
      <c r="AB13" s="67">
        <v>2603678930</v>
      </c>
      <c r="AC13" s="67" t="s">
        <v>126</v>
      </c>
    </row>
    <row r="14" spans="2:29" ht="22.5" x14ac:dyDescent="0.25">
      <c r="B14" s="67" t="s">
        <v>22</v>
      </c>
      <c r="C14" s="75"/>
      <c r="D14" s="67"/>
      <c r="E14" s="75"/>
      <c r="F14" s="68">
        <v>1008163</v>
      </c>
      <c r="G14" s="81"/>
      <c r="H14" s="70" t="s">
        <v>162</v>
      </c>
      <c r="I14" s="68" t="s">
        <v>121</v>
      </c>
      <c r="J14" s="68" t="s">
        <v>122</v>
      </c>
      <c r="K14" s="69" t="s">
        <v>163</v>
      </c>
      <c r="L14" s="73"/>
      <c r="M14" s="73">
        <v>1</v>
      </c>
      <c r="N14" s="73">
        <v>55</v>
      </c>
      <c r="O14" s="71">
        <v>55</v>
      </c>
      <c r="P14" s="72">
        <v>11.14</v>
      </c>
      <c r="Q14" s="72"/>
      <c r="R14" s="72"/>
      <c r="S14" s="72"/>
      <c r="T14" s="68" t="s">
        <v>124</v>
      </c>
      <c r="U14" s="68">
        <v>2</v>
      </c>
      <c r="V14" s="68">
        <v>4</v>
      </c>
      <c r="W14" s="68">
        <v>6</v>
      </c>
      <c r="X14" s="79">
        <v>3</v>
      </c>
      <c r="Y14" s="75" t="s">
        <v>92</v>
      </c>
      <c r="Z14" s="75"/>
      <c r="AA14" s="80">
        <v>46811</v>
      </c>
      <c r="AB14" s="75">
        <v>2603680000</v>
      </c>
      <c r="AC14" s="67" t="s">
        <v>126</v>
      </c>
    </row>
    <row r="15" spans="2:29" ht="33.75" x14ac:dyDescent="0.25">
      <c r="B15" s="67" t="s">
        <v>22</v>
      </c>
      <c r="C15" s="75"/>
      <c r="D15" s="67"/>
      <c r="E15" s="75"/>
      <c r="F15" s="68">
        <v>1008158</v>
      </c>
      <c r="G15" s="68"/>
      <c r="H15" s="70" t="s">
        <v>164</v>
      </c>
      <c r="I15" s="68" t="s">
        <v>121</v>
      </c>
      <c r="J15" s="68" t="s">
        <v>122</v>
      </c>
      <c r="K15" s="69" t="s">
        <v>152</v>
      </c>
      <c r="L15" s="73"/>
      <c r="M15" s="73">
        <v>6</v>
      </c>
      <c r="N15" s="73">
        <v>55</v>
      </c>
      <c r="O15" s="71">
        <v>330</v>
      </c>
      <c r="P15" s="72">
        <v>20.75</v>
      </c>
      <c r="Q15" s="72"/>
      <c r="R15" s="72"/>
      <c r="S15" s="72"/>
      <c r="T15" s="68" t="s">
        <v>124</v>
      </c>
      <c r="U15" s="68">
        <v>2</v>
      </c>
      <c r="V15" s="68">
        <v>4</v>
      </c>
      <c r="W15" s="68">
        <v>6</v>
      </c>
      <c r="X15" s="79">
        <v>2</v>
      </c>
      <c r="Y15" s="75" t="s">
        <v>153</v>
      </c>
      <c r="Z15" s="75"/>
      <c r="AA15" s="80">
        <v>46568</v>
      </c>
      <c r="AB15" s="75" t="s">
        <v>165</v>
      </c>
      <c r="AC15" s="67" t="s">
        <v>126</v>
      </c>
    </row>
    <row r="16" spans="2:29" ht="22.5" x14ac:dyDescent="0.25">
      <c r="B16" s="67" t="s">
        <v>22</v>
      </c>
      <c r="C16" s="75"/>
      <c r="D16" s="67" t="s">
        <v>166</v>
      </c>
      <c r="E16" s="75"/>
      <c r="F16" s="67">
        <v>1008111</v>
      </c>
      <c r="G16" s="67"/>
      <c r="H16" s="76" t="s">
        <v>167</v>
      </c>
      <c r="I16" s="68" t="s">
        <v>121</v>
      </c>
      <c r="J16" s="77" t="s">
        <v>122</v>
      </c>
      <c r="K16" s="78" t="s">
        <v>168</v>
      </c>
      <c r="L16" s="73"/>
      <c r="M16" s="73">
        <v>4</v>
      </c>
      <c r="N16" s="73">
        <v>45</v>
      </c>
      <c r="O16" s="71">
        <v>180</v>
      </c>
      <c r="P16" s="72">
        <v>43.83</v>
      </c>
      <c r="Q16" s="72"/>
      <c r="R16" s="72"/>
      <c r="S16" s="72"/>
      <c r="T16" s="68" t="s">
        <v>124</v>
      </c>
      <c r="U16" s="68">
        <v>2</v>
      </c>
      <c r="V16" s="68">
        <v>4</v>
      </c>
      <c r="W16" s="68">
        <v>6</v>
      </c>
      <c r="X16" s="79">
        <v>1</v>
      </c>
      <c r="Y16" s="75" t="s">
        <v>94</v>
      </c>
      <c r="Z16" s="75"/>
      <c r="AA16" s="80">
        <v>46538</v>
      </c>
      <c r="AB16" s="75" t="s">
        <v>169</v>
      </c>
      <c r="AC16" s="67" t="s">
        <v>126</v>
      </c>
    </row>
    <row r="17" spans="2:29" ht="22.5" x14ac:dyDescent="0.25">
      <c r="B17" s="67" t="s">
        <v>22</v>
      </c>
      <c r="C17" s="75"/>
      <c r="D17" s="67" t="s">
        <v>170</v>
      </c>
      <c r="E17" s="75"/>
      <c r="F17" s="68">
        <v>1008111</v>
      </c>
      <c r="G17" s="68"/>
      <c r="H17" s="70" t="s">
        <v>171</v>
      </c>
      <c r="I17" s="68" t="s">
        <v>121</v>
      </c>
      <c r="J17" s="68" t="s">
        <v>122</v>
      </c>
      <c r="K17" s="69" t="s">
        <v>168</v>
      </c>
      <c r="L17" s="73"/>
      <c r="M17" s="73">
        <v>4</v>
      </c>
      <c r="N17" s="73">
        <v>45</v>
      </c>
      <c r="O17" s="71">
        <v>180</v>
      </c>
      <c r="P17" s="72">
        <v>43.83</v>
      </c>
      <c r="Q17" s="72"/>
      <c r="R17" s="72"/>
      <c r="S17" s="72"/>
      <c r="T17" s="68" t="s">
        <v>124</v>
      </c>
      <c r="U17" s="68">
        <v>2</v>
      </c>
      <c r="V17" s="68">
        <v>4</v>
      </c>
      <c r="W17" s="68">
        <v>6</v>
      </c>
      <c r="X17" s="79">
        <v>1</v>
      </c>
      <c r="Y17" s="75" t="s">
        <v>94</v>
      </c>
      <c r="Z17" s="75"/>
      <c r="AA17" s="80">
        <v>46568</v>
      </c>
      <c r="AB17" s="75" t="s">
        <v>172</v>
      </c>
      <c r="AC17" s="67" t="s">
        <v>126</v>
      </c>
    </row>
    <row r="18" spans="2:29" ht="33.75" x14ac:dyDescent="0.25">
      <c r="B18" s="67" t="s">
        <v>22</v>
      </c>
      <c r="C18" s="75"/>
      <c r="D18" s="67"/>
      <c r="E18" s="75"/>
      <c r="F18" s="78">
        <v>1133505</v>
      </c>
      <c r="G18" s="67"/>
      <c r="H18" s="76" t="s">
        <v>173</v>
      </c>
      <c r="I18" s="67" t="s">
        <v>121</v>
      </c>
      <c r="J18" s="67" t="s">
        <v>174</v>
      </c>
      <c r="K18" s="78" t="s">
        <v>175</v>
      </c>
      <c r="L18" s="73"/>
      <c r="M18" s="73">
        <v>1</v>
      </c>
      <c r="N18" s="73">
        <v>40</v>
      </c>
      <c r="O18" s="71">
        <v>40</v>
      </c>
      <c r="P18" s="72">
        <v>111</v>
      </c>
      <c r="Q18" s="72"/>
      <c r="R18" s="72"/>
      <c r="S18" s="72"/>
      <c r="T18" s="68" t="s">
        <v>124</v>
      </c>
      <c r="U18" s="68">
        <v>2</v>
      </c>
      <c r="V18" s="68">
        <v>4</v>
      </c>
      <c r="W18" s="68">
        <v>6</v>
      </c>
      <c r="X18" s="79">
        <v>5</v>
      </c>
      <c r="Y18" s="75" t="s">
        <v>18</v>
      </c>
      <c r="Z18" s="75"/>
      <c r="AA18" s="80">
        <v>46842</v>
      </c>
      <c r="AB18" s="75">
        <v>18271</v>
      </c>
      <c r="AC18" s="67" t="s">
        <v>176</v>
      </c>
    </row>
    <row r="19" spans="2:29" ht="22.5" x14ac:dyDescent="0.25">
      <c r="B19" s="67" t="s">
        <v>22</v>
      </c>
      <c r="C19" s="75"/>
      <c r="D19" s="67" t="s">
        <v>177</v>
      </c>
      <c r="E19" s="75"/>
      <c r="F19" s="67">
        <v>1008114</v>
      </c>
      <c r="G19" s="67"/>
      <c r="H19" s="76" t="s">
        <v>178</v>
      </c>
      <c r="I19" s="68" t="s">
        <v>121</v>
      </c>
      <c r="J19" s="77" t="s">
        <v>122</v>
      </c>
      <c r="K19" s="78" t="s">
        <v>123</v>
      </c>
      <c r="L19" s="73"/>
      <c r="M19" s="73">
        <v>2</v>
      </c>
      <c r="N19" s="73">
        <v>45</v>
      </c>
      <c r="O19" s="71">
        <v>90</v>
      </c>
      <c r="P19" s="72">
        <v>40.53</v>
      </c>
      <c r="Q19" s="72"/>
      <c r="R19" s="72"/>
      <c r="S19" s="72"/>
      <c r="T19" s="68" t="s">
        <v>124</v>
      </c>
      <c r="U19" s="68">
        <v>2</v>
      </c>
      <c r="V19" s="68">
        <v>5</v>
      </c>
      <c r="W19" s="68">
        <v>10</v>
      </c>
      <c r="X19" s="79">
        <v>0</v>
      </c>
      <c r="Y19" s="75"/>
      <c r="Z19" s="75"/>
      <c r="AA19" s="75"/>
      <c r="AB19" s="75"/>
      <c r="AC19" s="67"/>
    </row>
    <row r="20" spans="2:29" ht="22.5" x14ac:dyDescent="0.25">
      <c r="B20" s="67" t="s">
        <v>22</v>
      </c>
      <c r="C20" s="75"/>
      <c r="D20" s="67" t="s">
        <v>179</v>
      </c>
      <c r="E20" s="82"/>
      <c r="F20" s="69">
        <v>1008152</v>
      </c>
      <c r="G20" s="83"/>
      <c r="H20" s="70" t="s">
        <v>180</v>
      </c>
      <c r="I20" s="68" t="s">
        <v>121</v>
      </c>
      <c r="J20" s="68" t="s">
        <v>122</v>
      </c>
      <c r="K20" s="69" t="s">
        <v>181</v>
      </c>
      <c r="L20" s="73"/>
      <c r="M20" s="73">
        <v>1</v>
      </c>
      <c r="N20" s="73">
        <v>32</v>
      </c>
      <c r="O20" s="71">
        <v>32</v>
      </c>
      <c r="P20" s="72">
        <v>143.97</v>
      </c>
      <c r="Q20" s="72"/>
      <c r="R20" s="72"/>
      <c r="S20" s="72"/>
      <c r="T20" s="68" t="s">
        <v>124</v>
      </c>
      <c r="U20" s="68">
        <v>2</v>
      </c>
      <c r="V20" s="68">
        <v>4</v>
      </c>
      <c r="W20" s="68">
        <v>6</v>
      </c>
      <c r="X20" s="79">
        <v>1</v>
      </c>
      <c r="Y20" s="75" t="s">
        <v>92</v>
      </c>
      <c r="Z20" s="75"/>
      <c r="AA20" s="80">
        <v>46691</v>
      </c>
      <c r="AB20" s="75">
        <v>2606690300</v>
      </c>
      <c r="AC20" s="67" t="s">
        <v>126</v>
      </c>
    </row>
    <row r="21" spans="2:29" x14ac:dyDescent="0.25">
      <c r="B21" s="67" t="s">
        <v>22</v>
      </c>
      <c r="C21" s="75"/>
      <c r="D21" s="67" t="s">
        <v>182</v>
      </c>
      <c r="E21" s="82"/>
      <c r="F21" s="69">
        <v>1008145</v>
      </c>
      <c r="G21" s="68"/>
      <c r="H21" s="70" t="s">
        <v>183</v>
      </c>
      <c r="I21" s="68" t="s">
        <v>121</v>
      </c>
      <c r="J21" s="68" t="s">
        <v>122</v>
      </c>
      <c r="K21" s="69" t="s">
        <v>184</v>
      </c>
      <c r="L21" s="73"/>
      <c r="M21" s="73">
        <v>1</v>
      </c>
      <c r="N21" s="73">
        <v>37</v>
      </c>
      <c r="O21" s="71">
        <v>37</v>
      </c>
      <c r="P21" s="72">
        <v>9.4600000000000009</v>
      </c>
      <c r="Q21" s="72"/>
      <c r="R21" s="72"/>
      <c r="S21" s="72"/>
      <c r="T21" s="68" t="s">
        <v>124</v>
      </c>
      <c r="U21" s="68">
        <v>2</v>
      </c>
      <c r="V21" s="68">
        <v>4</v>
      </c>
      <c r="W21" s="68">
        <v>6</v>
      </c>
      <c r="X21" s="79">
        <v>5</v>
      </c>
      <c r="Y21" s="75" t="s">
        <v>92</v>
      </c>
      <c r="Z21" s="75"/>
      <c r="AA21" s="80">
        <v>46630</v>
      </c>
      <c r="AB21" s="75" t="s">
        <v>185</v>
      </c>
      <c r="AC21" s="67" t="s">
        <v>126</v>
      </c>
    </row>
    <row r="22" spans="2:29" ht="22.5" x14ac:dyDescent="0.25">
      <c r="B22" s="67" t="s">
        <v>22</v>
      </c>
      <c r="C22" s="75"/>
      <c r="D22" s="67" t="s">
        <v>186</v>
      </c>
      <c r="E22" s="82"/>
      <c r="F22" s="69">
        <v>1683267</v>
      </c>
      <c r="G22" s="68"/>
      <c r="H22" s="70" t="s">
        <v>187</v>
      </c>
      <c r="I22" s="68" t="s">
        <v>121</v>
      </c>
      <c r="J22" s="68" t="s">
        <v>122</v>
      </c>
      <c r="K22" s="69" t="s">
        <v>149</v>
      </c>
      <c r="L22" s="73"/>
      <c r="M22" s="73">
        <v>1</v>
      </c>
      <c r="N22" s="73">
        <v>60</v>
      </c>
      <c r="O22" s="71">
        <v>60</v>
      </c>
      <c r="P22" s="72">
        <v>158.13999999999999</v>
      </c>
      <c r="Q22" s="72"/>
      <c r="R22" s="72"/>
      <c r="S22" s="72"/>
      <c r="T22" s="68" t="s">
        <v>124</v>
      </c>
      <c r="U22" s="68">
        <v>2</v>
      </c>
      <c r="V22" s="68">
        <v>4</v>
      </c>
      <c r="W22" s="68">
        <v>6</v>
      </c>
      <c r="X22" s="79">
        <v>1</v>
      </c>
      <c r="Y22" s="75" t="s">
        <v>92</v>
      </c>
      <c r="Z22" s="75"/>
      <c r="AA22" s="80">
        <v>46660</v>
      </c>
      <c r="AB22" s="75">
        <v>2605685550</v>
      </c>
      <c r="AC22" s="67" t="s">
        <v>126</v>
      </c>
    </row>
    <row r="23" spans="2:29" ht="22.5" x14ac:dyDescent="0.25">
      <c r="B23" s="67" t="s">
        <v>22</v>
      </c>
      <c r="C23" s="75"/>
      <c r="D23" s="67"/>
      <c r="E23" s="75"/>
      <c r="F23" s="67">
        <v>1008159</v>
      </c>
      <c r="G23" s="67"/>
      <c r="H23" s="76" t="s">
        <v>188</v>
      </c>
      <c r="I23" s="68" t="s">
        <v>121</v>
      </c>
      <c r="J23" s="77" t="s">
        <v>122</v>
      </c>
      <c r="K23" s="78" t="s">
        <v>189</v>
      </c>
      <c r="L23" s="73"/>
      <c r="M23" s="73">
        <v>3</v>
      </c>
      <c r="N23" s="73">
        <v>40</v>
      </c>
      <c r="O23" s="71">
        <v>120</v>
      </c>
      <c r="P23" s="72">
        <v>12.48</v>
      </c>
      <c r="Q23" s="72"/>
      <c r="R23" s="72"/>
      <c r="S23" s="72"/>
      <c r="T23" s="68" t="s">
        <v>124</v>
      </c>
      <c r="U23" s="68">
        <v>2</v>
      </c>
      <c r="V23" s="68">
        <v>4</v>
      </c>
      <c r="W23" s="68">
        <v>6</v>
      </c>
      <c r="X23" s="79">
        <v>3</v>
      </c>
      <c r="Y23" s="75" t="s">
        <v>130</v>
      </c>
      <c r="Z23" s="75"/>
      <c r="AA23" s="80">
        <v>46568</v>
      </c>
      <c r="AB23" s="75">
        <v>3127060</v>
      </c>
      <c r="AC23" s="67" t="s">
        <v>126</v>
      </c>
    </row>
    <row r="24" spans="2:29" ht="22.5" x14ac:dyDescent="0.25">
      <c r="B24" s="67" t="s">
        <v>22</v>
      </c>
      <c r="C24" s="68"/>
      <c r="D24" s="69" t="s">
        <v>190</v>
      </c>
      <c r="E24" s="68"/>
      <c r="F24" s="68">
        <v>1008161</v>
      </c>
      <c r="G24" s="68"/>
      <c r="H24" s="70" t="s">
        <v>191</v>
      </c>
      <c r="I24" s="68" t="s">
        <v>121</v>
      </c>
      <c r="J24" s="68" t="s">
        <v>122</v>
      </c>
      <c r="K24" s="69" t="s">
        <v>192</v>
      </c>
      <c r="L24" s="71"/>
      <c r="M24" s="71">
        <v>2</v>
      </c>
      <c r="N24" s="71">
        <v>45</v>
      </c>
      <c r="O24" s="71">
        <v>90</v>
      </c>
      <c r="P24" s="72">
        <v>70</v>
      </c>
      <c r="Q24" s="72"/>
      <c r="R24" s="72"/>
      <c r="S24" s="72"/>
      <c r="T24" s="68" t="s">
        <v>124</v>
      </c>
      <c r="U24" s="68">
        <v>4</v>
      </c>
      <c r="V24" s="68">
        <v>6</v>
      </c>
      <c r="W24" s="68">
        <v>8</v>
      </c>
      <c r="X24" s="73">
        <v>2</v>
      </c>
      <c r="Y24" s="67" t="s">
        <v>93</v>
      </c>
      <c r="Z24" s="67"/>
      <c r="AA24" s="74">
        <v>46295</v>
      </c>
      <c r="AB24" s="67">
        <v>3226090</v>
      </c>
      <c r="AC24" s="67" t="s">
        <v>126</v>
      </c>
    </row>
    <row r="25" spans="2:29" ht="22.5" x14ac:dyDescent="0.25">
      <c r="B25" s="67" t="s">
        <v>22</v>
      </c>
      <c r="C25" s="68"/>
      <c r="D25" s="69"/>
      <c r="E25" s="68"/>
      <c r="F25" s="69">
        <v>1937553</v>
      </c>
      <c r="G25" s="68"/>
      <c r="H25" s="70" t="s">
        <v>193</v>
      </c>
      <c r="I25" s="68" t="s">
        <v>121</v>
      </c>
      <c r="J25" s="68" t="s">
        <v>122</v>
      </c>
      <c r="K25" s="69" t="s">
        <v>194</v>
      </c>
      <c r="L25" s="71"/>
      <c r="M25" s="71">
        <v>3</v>
      </c>
      <c r="N25" s="71">
        <v>5</v>
      </c>
      <c r="O25" s="71">
        <v>15</v>
      </c>
      <c r="P25" s="72">
        <v>100.94</v>
      </c>
      <c r="Q25" s="72"/>
      <c r="R25" s="72"/>
      <c r="S25" s="72"/>
      <c r="T25" s="68" t="s">
        <v>124</v>
      </c>
      <c r="U25" s="68">
        <v>4</v>
      </c>
      <c r="V25" s="68">
        <v>6</v>
      </c>
      <c r="W25" s="68"/>
      <c r="X25" s="73">
        <v>0</v>
      </c>
      <c r="Y25" s="67" t="s">
        <v>130</v>
      </c>
      <c r="Z25" s="67"/>
      <c r="AA25" s="74">
        <v>46811</v>
      </c>
      <c r="AB25" s="67">
        <v>2603679760</v>
      </c>
      <c r="AC25" s="67" t="s">
        <v>126</v>
      </c>
    </row>
    <row r="26" spans="2:29" ht="33.75" x14ac:dyDescent="0.25">
      <c r="B26" s="67" t="s">
        <v>22</v>
      </c>
      <c r="C26" s="75"/>
      <c r="D26" s="67" t="s">
        <v>195</v>
      </c>
      <c r="E26" s="75"/>
      <c r="F26" s="67">
        <v>1008160</v>
      </c>
      <c r="G26" s="67"/>
      <c r="H26" s="76" t="s">
        <v>196</v>
      </c>
      <c r="I26" s="68" t="s">
        <v>121</v>
      </c>
      <c r="J26" s="77" t="s">
        <v>122</v>
      </c>
      <c r="K26" s="78" t="s">
        <v>152</v>
      </c>
      <c r="L26" s="73"/>
      <c r="M26" s="73">
        <v>6</v>
      </c>
      <c r="N26" s="73">
        <v>55</v>
      </c>
      <c r="O26" s="71">
        <v>330</v>
      </c>
      <c r="P26" s="72">
        <v>197.42</v>
      </c>
      <c r="Q26" s="72"/>
      <c r="R26" s="72"/>
      <c r="S26" s="72"/>
      <c r="T26" s="68" t="s">
        <v>124</v>
      </c>
      <c r="U26" s="68">
        <v>2</v>
      </c>
      <c r="V26" s="68">
        <v>4</v>
      </c>
      <c r="W26" s="68">
        <v>6</v>
      </c>
      <c r="X26" s="79">
        <v>1</v>
      </c>
      <c r="Y26" s="75" t="s">
        <v>153</v>
      </c>
      <c r="Z26" s="75"/>
      <c r="AA26" s="80">
        <v>46387</v>
      </c>
      <c r="AB26" s="75">
        <v>3326120</v>
      </c>
      <c r="AC26" s="67" t="s">
        <v>126</v>
      </c>
    </row>
    <row r="27" spans="2:29" ht="33.75" x14ac:dyDescent="0.25">
      <c r="B27" s="67" t="s">
        <v>22</v>
      </c>
      <c r="C27" s="75"/>
      <c r="D27" s="67" t="s">
        <v>197</v>
      </c>
      <c r="E27" s="75"/>
      <c r="F27" s="68">
        <v>1008108</v>
      </c>
      <c r="G27" s="81"/>
      <c r="H27" s="70" t="s">
        <v>198</v>
      </c>
      <c r="I27" s="68" t="s">
        <v>121</v>
      </c>
      <c r="J27" s="68" t="s">
        <v>122</v>
      </c>
      <c r="K27" s="69" t="s">
        <v>168</v>
      </c>
      <c r="L27" s="73"/>
      <c r="M27" s="73">
        <v>4</v>
      </c>
      <c r="N27" s="73">
        <v>45</v>
      </c>
      <c r="O27" s="71">
        <v>180</v>
      </c>
      <c r="P27" s="72">
        <v>39.229999999999997</v>
      </c>
      <c r="Q27" s="72"/>
      <c r="R27" s="72"/>
      <c r="S27" s="72"/>
      <c r="T27" s="68" t="s">
        <v>124</v>
      </c>
      <c r="U27" s="68">
        <v>2</v>
      </c>
      <c r="V27" s="68">
        <v>4</v>
      </c>
      <c r="W27" s="68">
        <v>6</v>
      </c>
      <c r="X27" s="79">
        <v>3</v>
      </c>
      <c r="Y27" s="75" t="s">
        <v>94</v>
      </c>
      <c r="Z27" s="75"/>
      <c r="AA27" s="80">
        <v>46477</v>
      </c>
      <c r="AB27" s="75" t="s">
        <v>199</v>
      </c>
      <c r="AC27" s="67" t="s">
        <v>126</v>
      </c>
    </row>
    <row r="28" spans="2:29" ht="33.75" x14ac:dyDescent="0.25">
      <c r="B28" s="67" t="s">
        <v>22</v>
      </c>
      <c r="C28" s="67"/>
      <c r="D28" s="67"/>
      <c r="E28" s="67"/>
      <c r="F28" s="67">
        <v>1008109</v>
      </c>
      <c r="G28" s="67"/>
      <c r="H28" s="76" t="s">
        <v>200</v>
      </c>
      <c r="I28" s="68" t="s">
        <v>121</v>
      </c>
      <c r="J28" s="68" t="s">
        <v>122</v>
      </c>
      <c r="K28" s="78" t="s">
        <v>168</v>
      </c>
      <c r="L28" s="73"/>
      <c r="M28" s="73">
        <v>4</v>
      </c>
      <c r="N28" s="73">
        <v>45</v>
      </c>
      <c r="O28" s="71">
        <v>180</v>
      </c>
      <c r="P28" s="72">
        <v>45.38</v>
      </c>
      <c r="Q28" s="72"/>
      <c r="R28" s="72"/>
      <c r="S28" s="72"/>
      <c r="T28" s="68" t="s">
        <v>124</v>
      </c>
      <c r="U28" s="68">
        <v>2</v>
      </c>
      <c r="V28" s="68">
        <v>4</v>
      </c>
      <c r="W28" s="68">
        <v>6</v>
      </c>
      <c r="X28" s="73">
        <v>1</v>
      </c>
      <c r="Y28" s="67" t="s">
        <v>94</v>
      </c>
      <c r="Z28" s="67"/>
      <c r="AA28" s="74">
        <v>46446</v>
      </c>
      <c r="AB28" s="67">
        <v>3627020</v>
      </c>
      <c r="AC28" s="67" t="s">
        <v>126</v>
      </c>
    </row>
    <row r="29" spans="2:29" x14ac:dyDescent="0.25">
      <c r="B29" s="67" t="s">
        <v>22</v>
      </c>
      <c r="C29" s="67"/>
      <c r="D29" s="67"/>
      <c r="E29" s="67"/>
      <c r="F29" s="67">
        <v>1979002</v>
      </c>
      <c r="G29" s="67"/>
      <c r="H29" s="76" t="s">
        <v>201</v>
      </c>
      <c r="I29" s="68" t="s">
        <v>121</v>
      </c>
      <c r="J29" s="68" t="s">
        <v>122</v>
      </c>
      <c r="K29" s="84" t="s">
        <v>202</v>
      </c>
      <c r="L29" s="68"/>
      <c r="M29" s="68">
        <v>2</v>
      </c>
      <c r="N29" s="68">
        <v>10</v>
      </c>
      <c r="O29" s="68">
        <v>20</v>
      </c>
      <c r="P29" s="72">
        <v>53.83</v>
      </c>
      <c r="Q29" s="72"/>
      <c r="R29" s="72"/>
      <c r="S29" s="72"/>
      <c r="T29" s="68" t="s">
        <v>124</v>
      </c>
      <c r="U29" s="68">
        <v>2</v>
      </c>
      <c r="V29" s="68">
        <v>4</v>
      </c>
      <c r="W29" s="68">
        <v>6</v>
      </c>
      <c r="X29" s="73">
        <v>1</v>
      </c>
      <c r="Y29" s="67" t="s">
        <v>93</v>
      </c>
      <c r="Z29" s="67"/>
      <c r="AA29" s="74">
        <v>46477</v>
      </c>
      <c r="AB29" s="67">
        <v>250363336</v>
      </c>
      <c r="AC29" s="67" t="s">
        <v>126</v>
      </c>
    </row>
    <row r="30" spans="2:29" x14ac:dyDescent="0.25">
      <c r="B30" s="67" t="s">
        <v>22</v>
      </c>
      <c r="C30" s="67"/>
      <c r="D30" s="67"/>
      <c r="E30" s="67"/>
      <c r="F30" s="67">
        <v>1979002</v>
      </c>
      <c r="G30" s="67"/>
      <c r="H30" s="76" t="s">
        <v>201</v>
      </c>
      <c r="I30" s="68" t="s">
        <v>121</v>
      </c>
      <c r="J30" s="68" t="s">
        <v>122</v>
      </c>
      <c r="K30" s="84" t="s">
        <v>202</v>
      </c>
      <c r="L30" s="68"/>
      <c r="M30" s="68">
        <v>2</v>
      </c>
      <c r="N30" s="68">
        <v>10</v>
      </c>
      <c r="O30" s="68">
        <v>20</v>
      </c>
      <c r="P30" s="72">
        <v>53.83</v>
      </c>
      <c r="Q30" s="72"/>
      <c r="R30" s="72"/>
      <c r="S30" s="72"/>
      <c r="T30" s="68" t="s">
        <v>124</v>
      </c>
      <c r="U30" s="68">
        <v>2</v>
      </c>
      <c r="V30" s="68">
        <v>4</v>
      </c>
      <c r="W30" s="68">
        <v>6</v>
      </c>
      <c r="X30" s="73">
        <v>1</v>
      </c>
      <c r="Y30" s="67" t="s">
        <v>93</v>
      </c>
      <c r="Z30" s="67"/>
      <c r="AA30" s="74">
        <v>46873</v>
      </c>
      <c r="AB30" s="67">
        <v>2606684820</v>
      </c>
      <c r="AC30" s="67" t="s">
        <v>126</v>
      </c>
    </row>
    <row r="31" spans="2:29" x14ac:dyDescent="0.25">
      <c r="B31" s="67" t="s">
        <v>22</v>
      </c>
      <c r="C31" s="6"/>
      <c r="D31" s="6"/>
      <c r="E31" s="6"/>
      <c r="F31" s="67">
        <v>1979002</v>
      </c>
      <c r="G31" s="67"/>
      <c r="H31" s="76" t="s">
        <v>203</v>
      </c>
      <c r="I31" s="68" t="s">
        <v>121</v>
      </c>
      <c r="J31" s="68" t="s">
        <v>122</v>
      </c>
      <c r="K31" s="68" t="s">
        <v>204</v>
      </c>
      <c r="L31" s="68">
        <v>250</v>
      </c>
      <c r="M31" s="68"/>
      <c r="N31" s="68"/>
      <c r="O31" s="68"/>
      <c r="P31" s="72">
        <v>30</v>
      </c>
      <c r="Q31" s="72"/>
      <c r="R31" s="72"/>
      <c r="S31" s="72"/>
      <c r="T31" s="68" t="s">
        <v>124</v>
      </c>
      <c r="U31" s="68">
        <v>2</v>
      </c>
      <c r="V31" s="68">
        <v>4</v>
      </c>
      <c r="W31" s="68">
        <v>6</v>
      </c>
      <c r="X31" s="73">
        <v>1</v>
      </c>
      <c r="Y31" s="67" t="s">
        <v>92</v>
      </c>
      <c r="Z31" s="67"/>
      <c r="AA31" s="74">
        <v>46507</v>
      </c>
      <c r="AB31" s="67">
        <v>2510661720</v>
      </c>
      <c r="AC31" s="67" t="s">
        <v>176</v>
      </c>
    </row>
    <row r="32" spans="2:29" x14ac:dyDescent="0.25">
      <c r="B32" s="67" t="s">
        <v>22</v>
      </c>
      <c r="C32" s="6"/>
      <c r="D32" s="6"/>
      <c r="E32" s="6"/>
      <c r="F32" s="67">
        <v>1979002</v>
      </c>
      <c r="G32" s="67"/>
      <c r="H32" s="76" t="s">
        <v>203</v>
      </c>
      <c r="I32" s="68" t="s">
        <v>121</v>
      </c>
      <c r="J32" s="68" t="s">
        <v>122</v>
      </c>
      <c r="K32" s="68" t="s">
        <v>204</v>
      </c>
      <c r="L32" s="68">
        <v>250</v>
      </c>
      <c r="M32" s="68"/>
      <c r="N32" s="68"/>
      <c r="O32" s="68"/>
      <c r="P32" s="72">
        <v>30</v>
      </c>
      <c r="Q32" s="72"/>
      <c r="R32" s="72"/>
      <c r="S32" s="72"/>
      <c r="T32" s="68" t="s">
        <v>124</v>
      </c>
      <c r="U32" s="68">
        <v>2</v>
      </c>
      <c r="V32" s="68">
        <v>4</v>
      </c>
      <c r="W32" s="68">
        <v>6</v>
      </c>
      <c r="X32" s="73">
        <v>1</v>
      </c>
      <c r="Y32" s="67" t="s">
        <v>92</v>
      </c>
      <c r="Z32" s="67"/>
      <c r="AA32" s="74">
        <v>46599</v>
      </c>
      <c r="AB32" s="67">
        <v>2606672260</v>
      </c>
      <c r="AC32" s="67" t="s">
        <v>176</v>
      </c>
    </row>
    <row r="33" spans="2:29" ht="22.5" x14ac:dyDescent="0.25">
      <c r="B33" s="67" t="s">
        <v>22</v>
      </c>
      <c r="C33" s="6"/>
      <c r="D33" s="6"/>
      <c r="E33" s="6"/>
      <c r="F33" s="67">
        <v>1979002</v>
      </c>
      <c r="G33" s="67"/>
      <c r="H33" s="76" t="s">
        <v>205</v>
      </c>
      <c r="I33" s="68" t="s">
        <v>121</v>
      </c>
      <c r="J33" s="68" t="s">
        <v>122</v>
      </c>
      <c r="K33" s="84" t="s">
        <v>206</v>
      </c>
      <c r="L33" s="68"/>
      <c r="M33" s="68">
        <v>1</v>
      </c>
      <c r="N33" s="68">
        <v>65</v>
      </c>
      <c r="O33" s="68">
        <v>65</v>
      </c>
      <c r="P33" s="72">
        <v>68.97</v>
      </c>
      <c r="Q33" s="72"/>
      <c r="R33" s="72"/>
      <c r="S33" s="72"/>
      <c r="T33" s="68" t="s">
        <v>124</v>
      </c>
      <c r="U33" s="68">
        <v>2</v>
      </c>
      <c r="V33" s="68">
        <v>4</v>
      </c>
      <c r="W33" s="68">
        <v>6</v>
      </c>
      <c r="X33" s="73">
        <v>1</v>
      </c>
      <c r="Y33" s="67" t="s">
        <v>92</v>
      </c>
      <c r="Z33" s="67"/>
      <c r="AA33" s="74">
        <v>46873</v>
      </c>
      <c r="AB33" s="67">
        <v>2512667690</v>
      </c>
      <c r="AC33" s="6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cm 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Jimenez</dc:creator>
  <cp:lastModifiedBy>SQL Admin</cp:lastModifiedBy>
  <dcterms:created xsi:type="dcterms:W3CDTF">2026-10-09T20:48:36Z</dcterms:created>
  <dcterms:modified xsi:type="dcterms:W3CDTF">2026-10-12T16:41:57Z</dcterms:modified>
</cp:coreProperties>
</file>