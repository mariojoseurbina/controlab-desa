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ompras01\Documents\Compra Rafa\BASE DE DATOS DE ITEMS\"/>
    </mc:Choice>
  </mc:AlternateContent>
  <xr:revisionPtr revIDLastSave="0" documentId="13_ncr:1_{7C46B5BC-E8EF-490D-A3A5-B669E9772752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Inicio" sheetId="1" r:id="rId1"/>
    <sheet name="Parámetros" sheetId="2" r:id="rId2"/>
    <sheet name="BS-230 Química" sheetId="3" r:id="rId3"/>
    <sheet name="CL-900i CLIA" sheetId="4" r:id="rId4"/>
    <sheet name="Hematología BC-5380-5000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3" i="3" l="1"/>
  <c r="J6" i="3"/>
  <c r="J31" i="3"/>
  <c r="J32" i="3"/>
  <c r="J37" i="3"/>
  <c r="K37" i="3" s="1"/>
  <c r="J38" i="3"/>
  <c r="J39" i="3"/>
  <c r="J40" i="3"/>
  <c r="K40" i="3" s="1"/>
  <c r="J41" i="3"/>
  <c r="K41" i="3"/>
  <c r="J42" i="3"/>
  <c r="J45" i="3"/>
  <c r="K45" i="3" s="1"/>
  <c r="J46" i="3"/>
  <c r="K46" i="3" s="1"/>
  <c r="J47" i="3"/>
  <c r="K47" i="3" s="1"/>
  <c r="J49" i="3"/>
  <c r="K49" i="3" s="1"/>
  <c r="J48" i="3"/>
  <c r="K48" i="3" s="1"/>
  <c r="J53" i="3"/>
  <c r="J54" i="3"/>
  <c r="K54" i="3" s="1"/>
  <c r="J55" i="3"/>
  <c r="K55" i="3" s="1"/>
  <c r="J56" i="3"/>
  <c r="K56" i="3" s="1"/>
  <c r="J57" i="3"/>
  <c r="J34" i="3"/>
  <c r="K34" i="3" s="1"/>
  <c r="J33" i="3"/>
  <c r="K33" i="3" s="1"/>
  <c r="J29" i="3"/>
  <c r="J11" i="3"/>
  <c r="J5" i="3"/>
  <c r="K5" i="3"/>
  <c r="J30" i="3"/>
  <c r="K30" i="3" s="1"/>
  <c r="J28" i="3"/>
  <c r="K28" i="3" s="1"/>
  <c r="J27" i="3"/>
  <c r="J26" i="3"/>
  <c r="K26" i="3" s="1"/>
  <c r="J25" i="3"/>
  <c r="J24" i="3"/>
  <c r="K24" i="3" s="1"/>
  <c r="J22" i="3"/>
  <c r="K22" i="3" s="1"/>
  <c r="J19" i="3"/>
  <c r="J14" i="3"/>
  <c r="K14" i="3" s="1"/>
  <c r="J13" i="3"/>
  <c r="K13" i="3" s="1"/>
  <c r="J12" i="3"/>
  <c r="K12" i="3" s="1"/>
  <c r="J10" i="3"/>
  <c r="K10" i="3" s="1"/>
  <c r="J9" i="3"/>
  <c r="J8" i="3"/>
  <c r="K8" i="3" s="1"/>
  <c r="K38" i="3"/>
  <c r="J36" i="3"/>
  <c r="J35" i="3"/>
  <c r="K35" i="3"/>
  <c r="K29" i="3"/>
  <c r="J18" i="3"/>
  <c r="J17" i="3"/>
  <c r="K17" i="3" s="1"/>
  <c r="K11" i="3"/>
  <c r="K6" i="3"/>
  <c r="K3" i="3"/>
  <c r="K4" i="3"/>
  <c r="K7" i="3"/>
  <c r="K9" i="3"/>
  <c r="K15" i="3"/>
  <c r="K16" i="3"/>
  <c r="K18" i="3"/>
  <c r="K19" i="3"/>
  <c r="K20" i="3"/>
  <c r="K21" i="3"/>
  <c r="K23" i="3"/>
  <c r="K25" i="3"/>
  <c r="K27" i="3"/>
  <c r="K31" i="3"/>
  <c r="K32" i="3"/>
  <c r="K36" i="3"/>
  <c r="K39" i="3"/>
  <c r="K42" i="3"/>
  <c r="K43" i="3"/>
  <c r="K44" i="3"/>
  <c r="K50" i="3"/>
  <c r="K51" i="3"/>
  <c r="K52" i="3"/>
  <c r="K53" i="3"/>
  <c r="K57" i="3"/>
  <c r="K108" i="3"/>
  <c r="K109" i="3"/>
  <c r="K110" i="3"/>
  <c r="K111" i="3"/>
  <c r="K112" i="3"/>
  <c r="K113" i="3"/>
  <c r="K2" i="3"/>
  <c r="H27" i="5"/>
  <c r="J27" i="5" s="1"/>
  <c r="H26" i="5"/>
  <c r="J26" i="5" s="1"/>
  <c r="J25" i="5"/>
  <c r="H25" i="5"/>
  <c r="H24" i="5"/>
  <c r="J24" i="5" s="1"/>
  <c r="H21" i="5"/>
  <c r="J18" i="5"/>
  <c r="H18" i="5"/>
  <c r="H14" i="5"/>
  <c r="J14" i="5" s="1"/>
  <c r="H13" i="5"/>
  <c r="J12" i="5"/>
  <c r="H12" i="5"/>
  <c r="H11" i="5"/>
  <c r="H10" i="5"/>
  <c r="H9" i="5"/>
  <c r="J8" i="5"/>
  <c r="H8" i="5"/>
  <c r="H7" i="5"/>
  <c r="J21" i="5" l="1"/>
  <c r="J10" i="5"/>
  <c r="J28" i="5"/>
  <c r="J7" i="5"/>
  <c r="J11" i="5"/>
  <c r="H16" i="5"/>
  <c r="J19" i="5"/>
  <c r="J9" i="5"/>
  <c r="J13" i="5"/>
  <c r="J22" i="5" l="1"/>
  <c r="J15" i="5"/>
  <c r="J29" i="5" l="1"/>
</calcChain>
</file>

<file path=xl/sharedStrings.xml><?xml version="1.0" encoding="utf-8"?>
<sst xmlns="http://schemas.openxmlformats.org/spreadsheetml/2006/main" count="2414" uniqueCount="1095">
  <si>
    <t>CIACLAB · Centro de Investigación y Atención Científica, C.A.</t>
  </si>
  <si>
    <t>[ LOGO CIACLAB ]</t>
  </si>
  <si>
    <t>Catálogo y Orden de Compra — Reactivos Mindray</t>
  </si>
  <si>
    <t>Reactivo → su control y calibrador · suma por compartido · pestaña Orden de Compra</t>
  </si>
  <si>
    <t>Propósito</t>
  </si>
  <si>
    <t>Catálogo completo Mindray por equipo. Al poner «Cant. a pedir» de un reactivo, el libro indica su control y calibrador específico y la cantidad; si varios reactivos comparten el mismo control/calibrador, los suma en una sola línea.</t>
  </si>
  <si>
    <t>Cómo funciona</t>
  </si>
  <si>
    <t>En cada reactivo verás «Calibrador asignado» y «Control asignado» (qué le corresponde). En los bloques de Calibradores y Controles el cálculo es POR GRUPO: «Σ cajas react.» suma las cajas de todos los reactivos que comparten esa referencia y «Cant. sugerida» = REDONDEAR.MÁS(Σ cajas ÷ Cobertura). Así, si 3 reactivos comparten el mismo multicalibrador/multicontrol, NO se piden 3+3: se calcula 1 como un todo. Ajusta «Cobertura» (cajas que cubre 1 kit) o sobrescribe con «Mi cant.».</t>
  </si>
  <si>
    <t>Orden de Compra</t>
  </si>
  <si>
    <t>La pestaña «Orden de Compra» consolida TODO lo de todas las pestañas. Filtra la columna «Pedir» = Sí (o «Cant.» &gt; 0) para ver solo lo que vas a comprar; el total ya solo cuenta lo que tiene cantidad.</t>
  </si>
  <si>
    <t>REF y precios</t>
  </si>
  <si>
    <t>REF = P/N oficial Mindray. Precios = lista de fábrica (BS 2020 / CLIA 2022.12, USD), referenciales; confirmar cotización vigente. Hematología con costo CIACLAB 04/2026.</t>
  </si>
  <si>
    <t>Leyenda de colores</t>
  </si>
  <si>
    <t xml:space="preserve"> </t>
  </si>
  <si>
    <t>Entrada — tú la llenas (Cant., Precio)</t>
  </si>
  <si>
    <t>Cálculo / sugerido / suma automática (no editar)</t>
  </si>
  <si>
    <t>Totales</t>
  </si>
  <si>
    <t>Tu ajuste («Mi cant.» / «Incluir»)</t>
  </si>
  <si>
    <t>Fuentes y validación</t>
  </si>
  <si>
    <t>• Mapeo reactivo→control/calibrador derivado de la columna de «aplicación» de las listas de fábrica Mindray (qué analitos cubre cada control/calibrador).</t>
  </si>
  <si>
    <t>• Catálogo y P/N: listas oficiales «BS-240/230 2020.06» y «CL-2000i/1200i 2023.04.04» (precios CLIA actualizados; cada reactivo tiene 2ª presentación 2×100 T/Kit indicada en Nota). Serie CL comparte reactivos (aplica a CL-900i).</t>
  </si>
  <si>
    <t>• La suma por control/calibrador compartido es la suma de la demanda por reactivo; un control/calibrador multi-analito puede requerir menos en la práctica: ajusta «Mi cant.» si aplica.</t>
  </si>
  <si>
    <t>• Fibrosis hepática (LN, HA, PIIINP, C-IV): el calibrador viene incluido en el kit del reactivo (no se ordena por separado); su control es el «Liver Fibrosis Multi Control».</t>
  </si>
  <si>
    <t>• Identidad: Calibri; pendiente logo CIACLAB y tipografía corporativa para versión formal.</t>
  </si>
  <si>
    <t>Parámetros y supuestos editables</t>
  </si>
  <si>
    <t>Ratios reactivo→control/calibrador, moneda y datos de la orden</t>
  </si>
  <si>
    <t>Cobertura — CL-900i por REACCIONES (Σ reacciones del grupo ÷ reacciones por caja). Química/Hemato por cajas.</t>
  </si>
  <si>
    <t>CL-900i: reacciones por 1 caja de calibrador</t>
  </si>
  <si>
    <t>Reacción = Cant.×Pruebas/kit (estándar 100, caja grande 200). Calibrador por ensayo/calibrador compartido.</t>
  </si>
  <si>
    <t>CL-900i: reacciones por 1 caja de control</t>
  </si>
  <si>
    <t>Sobre la SUMA de reacciones del panel (multi-control). Pos/Neg: cada uno cuenta sus cajas.</t>
  </si>
  <si>
    <t>Química: cajas de reactivo por 1 calibrador</t>
  </si>
  <si>
    <t>Sobre la suma de cajas que comparten el calibrador.</t>
  </si>
  <si>
    <t>Química: cajas por 1 control</t>
  </si>
  <si>
    <t>Sobre la suma de cajas que comparten el control.</t>
  </si>
  <si>
    <t>Hematología: kits reactivo por 1 control</t>
  </si>
  <si>
    <t>Hematología: kits reactivo por 1 calibrador</t>
  </si>
  <si>
    <t>Moneda</t>
  </si>
  <si>
    <t>Moneda base</t>
  </si>
  <si>
    <t>USD</t>
  </si>
  <si>
    <t>Tasa BCV (VES por USD)</t>
  </si>
  <si>
    <t>Cargar tasa BCV vigente.</t>
  </si>
  <si>
    <t>Fecha de la tasa BCV</t>
  </si>
  <si>
    <t>(dd/mm/aaaa)</t>
  </si>
  <si>
    <t>Citar fecha.</t>
  </si>
  <si>
    <t>Datos de la orden</t>
  </si>
  <si>
    <t>Proveedor / Distribuidor</t>
  </si>
  <si>
    <t>MINDRAY (distribuidor)</t>
  </si>
  <si>
    <t>N° de orden</t>
  </si>
  <si>
    <t>OC-CIAC-MODELO ene-may (perfiles explotados)</t>
  </si>
  <si>
    <t>Fecha de la orden</t>
  </si>
  <si>
    <t>Responsable</t>
  </si>
  <si>
    <t>Modelo 5m · sin hematología/electrolitos</t>
  </si>
  <si>
    <t>Grupo / Panel</t>
  </si>
  <si>
    <t>REF (P/N)</t>
  </si>
  <si>
    <t>Descripción</t>
  </si>
  <si>
    <t>Marca</t>
  </si>
  <si>
    <t>Presentación</t>
  </si>
  <si>
    <t>Pruebas/kit</t>
  </si>
  <si>
    <t>Precio U. (USD)</t>
  </si>
  <si>
    <t>Total (USD)</t>
  </si>
  <si>
    <t>Calibrador asignado</t>
  </si>
  <si>
    <t>Control (grupo)</t>
  </si>
  <si>
    <t>Nota</t>
  </si>
  <si>
    <t>ACE</t>
  </si>
  <si>
    <t>105-006179-00</t>
  </si>
  <si>
    <t>Angiotensin Converting Enzyme</t>
  </si>
  <si>
    <t>Mindray</t>
  </si>
  <si>
    <t>R: 2×14 mL</t>
  </si>
  <si>
    <t>ACE calibrator</t>
  </si>
  <si>
    <t>ADA</t>
  </si>
  <si>
    <t>105-003177-00</t>
  </si>
  <si>
    <t>Adenosine Deaminase</t>
  </si>
  <si>
    <t>R1 1×40 mL + R2 1×20 mL</t>
  </si>
  <si>
    <t>ADA Calibrator</t>
  </si>
  <si>
    <t>ALB</t>
  </si>
  <si>
    <t>105-000822-00</t>
  </si>
  <si>
    <t>Albumin</t>
  </si>
  <si>
    <t>R 4×40 mL</t>
  </si>
  <si>
    <t>Multi Sera Calibrator</t>
  </si>
  <si>
    <t>CLINCHEM</t>
  </si>
  <si>
    <t>ALP</t>
  </si>
  <si>
    <t>105-000816-00</t>
  </si>
  <si>
    <t>Alkaline phosphatase</t>
  </si>
  <si>
    <t>R1 4×35 mL + R2 2×18 mL</t>
  </si>
  <si>
    <t>ALT</t>
  </si>
  <si>
    <t>105-000814-00</t>
  </si>
  <si>
    <t>Alanine Aminotransferase</t>
  </si>
  <si>
    <t>α-AMY</t>
  </si>
  <si>
    <t>105-000847-00</t>
  </si>
  <si>
    <t>α-Amylase</t>
  </si>
  <si>
    <t>R1 1×38 mL + R2 1×10 mL</t>
  </si>
  <si>
    <t>Apo-A1</t>
  </si>
  <si>
    <t>105-000837-00</t>
  </si>
  <si>
    <t>Apolipoprotein A1</t>
  </si>
  <si>
    <t>R1 1×35 mL + R2 1×12 mL</t>
  </si>
  <si>
    <t>Lipids Calibrator</t>
  </si>
  <si>
    <t>Apo-B</t>
  </si>
  <si>
    <t>105-000838-00</t>
  </si>
  <si>
    <t>Apolipoprotein B</t>
  </si>
  <si>
    <t>ASOⅡ</t>
  </si>
  <si>
    <t>105-004629-00</t>
  </si>
  <si>
    <t>Antistreptolysin O Ⅱ</t>
  </si>
  <si>
    <t>R1 1×40 mL + R2 1×40 mL</t>
  </si>
  <si>
    <t>ASO Calibrator</t>
  </si>
  <si>
    <t>ASOCRPRF</t>
  </si>
  <si>
    <t>AST</t>
  </si>
  <si>
    <t>105-000815-00</t>
  </si>
  <si>
    <t>Aspartate Aminotransferase</t>
  </si>
  <si>
    <t>β2-mG Ⅱ</t>
  </si>
  <si>
    <t>105-004641-00</t>
  </si>
  <si>
    <t>β2-Microglobulin Ⅱ</t>
  </si>
  <si>
    <t>R1 1×40 mL + R2 1×12 mL</t>
  </si>
  <si>
    <t>C3</t>
  </si>
  <si>
    <t>105-004617-00</t>
  </si>
  <si>
    <t>Complement C3</t>
  </si>
  <si>
    <t>R1 1×36ml + R2 1×18ml</t>
  </si>
  <si>
    <t>Specific Proteins Calibrator</t>
  </si>
  <si>
    <t>MULTIMMUN</t>
  </si>
  <si>
    <t>C4</t>
  </si>
  <si>
    <t>105-000840-00</t>
  </si>
  <si>
    <t>Complement C4</t>
  </si>
  <si>
    <t>R1 1×40 mL + R2 1×15 mL</t>
  </si>
  <si>
    <t>Ca</t>
  </si>
  <si>
    <t>105-000825-00</t>
  </si>
  <si>
    <t>Calcium</t>
  </si>
  <si>
    <t>CHE</t>
  </si>
  <si>
    <t>105-001569-00</t>
  </si>
  <si>
    <t>Cholinesterase ** (C and Q)</t>
  </si>
  <si>
    <t>R1 2×40 mL+R2 1×16 mL+Calibrator 1×3 mL+Control 1×5 mL</t>
  </si>
  <si>
    <t>CK</t>
  </si>
  <si>
    <t>105-004615-00</t>
  </si>
  <si>
    <t>Creatine Kinase</t>
  </si>
  <si>
    <t>R1 2×35 mL + R2 1×18 mL</t>
  </si>
  <si>
    <t>CK-MB</t>
  </si>
  <si>
    <t>105-004616-00</t>
  </si>
  <si>
    <t>Creatine Kinase-MB</t>
  </si>
  <si>
    <t>CK-MB Calibrator</t>
  </si>
  <si>
    <t>CO2</t>
  </si>
  <si>
    <t>105-001562-00</t>
  </si>
  <si>
    <t>Bicarbonates ** (C and Q)</t>
  </si>
  <si>
    <t>R 2×20 mL+Calibrator 1×1.5 mL+Control 1×5 mL</t>
  </si>
  <si>
    <t>CREA-J</t>
  </si>
  <si>
    <t>105-000852-00</t>
  </si>
  <si>
    <t>Creatinine</t>
  </si>
  <si>
    <t>R1 3×35 mL + R2 3×35 mL</t>
  </si>
  <si>
    <t>CRP</t>
  </si>
  <si>
    <t>105-000841-00</t>
  </si>
  <si>
    <t>C-Reactive Protein</t>
  </si>
  <si>
    <t>R1 1×40 mL + R2 1×10 mL</t>
  </si>
  <si>
    <t>CRP Calibrator</t>
  </si>
  <si>
    <t>Cys-C Ⅱ</t>
  </si>
  <si>
    <t>105-004638-00</t>
  </si>
  <si>
    <t>Cystatin C Ⅱ</t>
  </si>
  <si>
    <t>CysC Calibrator</t>
  </si>
  <si>
    <t>CYSC</t>
  </si>
  <si>
    <t>Bil-D(DSA)</t>
  </si>
  <si>
    <t>105-000851-00</t>
  </si>
  <si>
    <t>Bilirubin Direct</t>
  </si>
  <si>
    <t>R1 4×20 mL + R2 1×20 mL</t>
  </si>
  <si>
    <t xml:space="preserve">β-HB </t>
  </si>
  <si>
    <t>105-006184-00</t>
  </si>
  <si>
    <r>
      <rPr>
        <sz val="9"/>
        <color rgb="FF000000"/>
        <rFont val="Calibri"/>
        <family val="2"/>
        <charset val="1"/>
      </rPr>
      <t>beta Hydroxybutyrate  *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C)</t>
    </r>
  </si>
  <si>
    <t>R1: 2×8 mL+ R2: 2×4 mL +Cal: 1×1 mL</t>
  </si>
  <si>
    <t>Fe</t>
  </si>
  <si>
    <t>105-001583-00</t>
  </si>
  <si>
    <t>Iron ** (C and Q)</t>
  </si>
  <si>
    <t>R1 2×40 mL+R2 1×16 mL + Calibrator 1×1.5 mL+Control 1×5 mL</t>
  </si>
  <si>
    <t>FER</t>
  </si>
  <si>
    <t>105-006175-00</t>
  </si>
  <si>
    <t>Ferritin</t>
  </si>
  <si>
    <t>R1: 2×18 mL+ R2: 2×10 mL</t>
  </si>
  <si>
    <t>FER calibrator</t>
  </si>
  <si>
    <t>FR-CRP</t>
  </si>
  <si>
    <t>105-004635-00</t>
  </si>
  <si>
    <t>Full Range C-Reactive Protein</t>
  </si>
  <si>
    <t>FUN</t>
  </si>
  <si>
    <t>105-001576-00</t>
  </si>
  <si>
    <t>Fructosamine ** (C and Q)</t>
  </si>
  <si>
    <t>R1 2×30 mL+R2 1×15 mL + Calibrator 1×1.5 mL+Control 1×1 mL</t>
  </si>
  <si>
    <t>GGT</t>
  </si>
  <si>
    <t>105-000817-00</t>
  </si>
  <si>
    <t>Gamma–Glutamyltransferase</t>
  </si>
  <si>
    <t>Glu-G</t>
  </si>
  <si>
    <t>105-000849-00</t>
  </si>
  <si>
    <t>Glucose</t>
  </si>
  <si>
    <t>R1 4×40 mL + R2 2×20 mL</t>
  </si>
  <si>
    <t>G6PD</t>
  </si>
  <si>
    <t>105-006185-00</t>
  </si>
  <si>
    <t>Glucose-6-Phosphate Dehydrogenase</t>
  </si>
  <si>
    <t>R1: 2×12 mL+ R2: 2×5 mL</t>
  </si>
  <si>
    <t>HbA1c</t>
  </si>
  <si>
    <t>105-009338-00</t>
  </si>
  <si>
    <t>Haemoglobin A1c #</t>
  </si>
  <si>
    <t>R1:1×40 mL + R2:1×15 mL + Pretreatment Solution: 1×200 mL</t>
  </si>
  <si>
    <t>HbA1c Calibrator</t>
  </si>
  <si>
    <t>HBA1C</t>
  </si>
  <si>
    <t>α-HBDH</t>
  </si>
  <si>
    <t>105-000819-00</t>
  </si>
  <si>
    <t>α-Hydroxybutyrate Dehydrogenase</t>
  </si>
  <si>
    <t>HDL-C</t>
  </si>
  <si>
    <t>105-000835-00</t>
  </si>
  <si>
    <t>HDL-Cholesterol</t>
  </si>
  <si>
    <t>R1 1×40 mL + R2 1×14 mL</t>
  </si>
  <si>
    <t>IgA</t>
  </si>
  <si>
    <t>105-004618-00</t>
  </si>
  <si>
    <t>Immunoglobulin A</t>
  </si>
  <si>
    <t>R1 1×36 mL + R2 1×18 mL</t>
  </si>
  <si>
    <t>IgG</t>
  </si>
  <si>
    <t>105-004619-00</t>
  </si>
  <si>
    <t>Immunoglobulin G</t>
  </si>
  <si>
    <t>IgM</t>
  </si>
  <si>
    <t>105-000843-00</t>
  </si>
  <si>
    <t>Immunoglobulin M</t>
  </si>
  <si>
    <t>LDH</t>
  </si>
  <si>
    <t>105-000818-00</t>
  </si>
  <si>
    <t>Lactate Dehydrogenase</t>
  </si>
  <si>
    <t>LDL-C</t>
  </si>
  <si>
    <t>105-000836-00</t>
  </si>
  <si>
    <t>LDL-Cholesterol</t>
  </si>
  <si>
    <t>LIP</t>
  </si>
  <si>
    <t>105-001541-00</t>
  </si>
  <si>
    <t>Lipase ** (C and Q)</t>
  </si>
  <si>
    <t>R1 : 1×35 mL + R2: 1×9 mL + Calibrator:1×3 mL + Quality control 1×5 mL</t>
  </si>
  <si>
    <t>Lp(a)</t>
  </si>
  <si>
    <t>105-000846-00</t>
  </si>
  <si>
    <t>Lipoprotein (a)</t>
  </si>
  <si>
    <t>R1 2×32 mL + R2 1×8 mL</t>
  </si>
  <si>
    <t>Lipoprotein(a) Calibrator</t>
  </si>
  <si>
    <t>LPA</t>
  </si>
  <si>
    <t>MALB</t>
  </si>
  <si>
    <t>105-006173-00</t>
  </si>
  <si>
    <t>Microalbumin</t>
  </si>
  <si>
    <t>R1: 2×18 mL+ R2: 2×5 mL</t>
  </si>
  <si>
    <t>MALB calibrator</t>
  </si>
  <si>
    <t>Mg</t>
  </si>
  <si>
    <t>105-000834-00</t>
  </si>
  <si>
    <t>Magnesium</t>
  </si>
  <si>
    <t>P</t>
  </si>
  <si>
    <t>105-000833-00</t>
  </si>
  <si>
    <t>Phosphorus</t>
  </si>
  <si>
    <t>PA</t>
  </si>
  <si>
    <t>105-000845-00</t>
  </si>
  <si>
    <t>Prealbumin</t>
  </si>
  <si>
    <t>Prealbumin Calibrator</t>
  </si>
  <si>
    <t>RBP</t>
  </si>
  <si>
    <t>105-006182-00</t>
  </si>
  <si>
    <t>Retinol Binding Protein  * (C )</t>
  </si>
  <si>
    <t>R1: 2×18 mL+ R2: 2×8 mL +Cal: 1×1 mL</t>
  </si>
  <si>
    <t>RBP calibrator</t>
  </si>
  <si>
    <t>RFⅡ</t>
  </si>
  <si>
    <t>105-004632-00</t>
  </si>
  <si>
    <t>Rheumatoid Factor Ⅱ</t>
  </si>
  <si>
    <t>R1 1×40 mL + R2 1×11 mL</t>
  </si>
  <si>
    <t>TRF calibrator</t>
  </si>
  <si>
    <t>TBA</t>
  </si>
  <si>
    <t>105-004613-00</t>
  </si>
  <si>
    <t>Total Bile Acids</t>
  </si>
  <si>
    <t>R1 2×27mL + R2 1×18 mL + Calibrator 1×1.5 mL</t>
  </si>
  <si>
    <t>Bil-T(DSA)</t>
  </si>
  <si>
    <t>105-000850-00</t>
  </si>
  <si>
    <t>Bilirubin Total</t>
  </si>
  <si>
    <t>TC</t>
  </si>
  <si>
    <t>105-000820-00</t>
  </si>
  <si>
    <t>Total Cholesterol</t>
  </si>
  <si>
    <t>TG</t>
  </si>
  <si>
    <t>105-000821-00</t>
  </si>
  <si>
    <t>Triglycerides</t>
  </si>
  <si>
    <t>TP</t>
  </si>
  <si>
    <t>105-000823-00</t>
  </si>
  <si>
    <t>Total Protein</t>
  </si>
  <si>
    <t>TPUC</t>
  </si>
  <si>
    <t>105-009168-00</t>
  </si>
  <si>
    <r>
      <rPr>
        <sz val="9"/>
        <color rgb="FF000000"/>
        <rFont val="Calibri"/>
        <family val="2"/>
        <charset val="1"/>
      </rPr>
      <t>Total Protein in Urine/CSF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TPUC</t>
    </r>
    <r>
      <rPr>
        <sz val="9"/>
        <color rgb="FF000000"/>
        <rFont val="Noto Sans CJK SC"/>
        <family val="2"/>
      </rPr>
      <t>）</t>
    </r>
  </si>
  <si>
    <t>R:3×18mL Calibrator:1×1mL</t>
  </si>
  <si>
    <t>TRF</t>
  </si>
  <si>
    <t>105-006177-00</t>
  </si>
  <si>
    <t>Transferrin</t>
  </si>
  <si>
    <t>R1: 2×32 mL+ R2: 2×6 mL</t>
  </si>
  <si>
    <t>UA</t>
  </si>
  <si>
    <t>105-000848-00</t>
  </si>
  <si>
    <t>Uric Acid</t>
  </si>
  <si>
    <t>UIBC</t>
  </si>
  <si>
    <t>105-009265-00</t>
  </si>
  <si>
    <t>Unsaturated Iron-Binding Capacity * (C)</t>
  </si>
  <si>
    <t>R1:1×20 mL+ R2:1×7 mL+ Cal: 1× 1 mL</t>
  </si>
  <si>
    <t>UIBC calibrator</t>
  </si>
  <si>
    <t>UREA</t>
  </si>
  <si>
    <t>105-000824-00</t>
  </si>
  <si>
    <t>Urea</t>
  </si>
  <si>
    <t>SUBTOTAL REACTIVOS (USD)</t>
  </si>
  <si>
    <t>Calibrador</t>
  </si>
  <si>
    <t>105-001144-00</t>
  </si>
  <si>
    <t>10×3 mL</t>
  </si>
  <si>
    <t>Aplica: ALB; ALP; ALT; AMY; AST; DB-DSA; DB-VOX; TB-DSA; TB-VOX</t>
  </si>
  <si>
    <t>105-001129-00</t>
  </si>
  <si>
    <t>5×1 mL</t>
  </si>
  <si>
    <t>Aplica: C3; C4; CRP; IgA; IgG; IgM</t>
  </si>
  <si>
    <t>105-001130-00</t>
  </si>
  <si>
    <t>3×1 mL</t>
  </si>
  <si>
    <t>Aplica: PA</t>
  </si>
  <si>
    <t>105-001128-00</t>
  </si>
  <si>
    <t>Aplica: APOA1; APOB; HDLC; LDLC</t>
  </si>
  <si>
    <t>105-001131-00</t>
  </si>
  <si>
    <t>Aplica: LP(a)</t>
  </si>
  <si>
    <t>105-001132-00</t>
  </si>
  <si>
    <t>Aplica: CK-MB</t>
  </si>
  <si>
    <t>105-002302-00</t>
  </si>
  <si>
    <t>MYO calibrator</t>
  </si>
  <si>
    <t>1×4 levels×1 mL</t>
  </si>
  <si>
    <t>Aplica: MYO</t>
  </si>
  <si>
    <t>105-002304-00</t>
  </si>
  <si>
    <t>1×1 level×1 mL</t>
  </si>
  <si>
    <t>Aplica: RBP</t>
  </si>
  <si>
    <t>105-002306-00</t>
  </si>
  <si>
    <t>Aplica: UIBC</t>
  </si>
  <si>
    <t>105-002309-00</t>
  </si>
  <si>
    <t>IgE calibrator</t>
  </si>
  <si>
    <t>1×6 levels×1 mL</t>
  </si>
  <si>
    <t>Aplica: IgE</t>
  </si>
  <si>
    <t>105-002311-00</t>
  </si>
  <si>
    <t>1×4 levels×2 mL</t>
  </si>
  <si>
    <t>Aplica: FER</t>
  </si>
  <si>
    <t>105-002313-00</t>
  </si>
  <si>
    <t>Aplica: ACE</t>
  </si>
  <si>
    <t>105-002315-00</t>
  </si>
  <si>
    <t>1×5 levels×1 mL</t>
  </si>
  <si>
    <t>Aplica: MALB</t>
  </si>
  <si>
    <t>105-002317-00</t>
  </si>
  <si>
    <t>Aplica: TRF</t>
  </si>
  <si>
    <t>105-002319-00</t>
  </si>
  <si>
    <t>β-HB calibrator</t>
  </si>
  <si>
    <t>Aplica: β-HB</t>
  </si>
  <si>
    <t>105-003680-00</t>
  </si>
  <si>
    <t>2×1 mL</t>
  </si>
  <si>
    <t>Aplica: HbA1c</t>
  </si>
  <si>
    <t>105-003682-00</t>
  </si>
  <si>
    <t>1×0.5 mL</t>
  </si>
  <si>
    <t>Aplica: ASO</t>
  </si>
  <si>
    <t>105-003683-00</t>
  </si>
  <si>
    <t>RF Calibrator</t>
  </si>
  <si>
    <t>5×0.5 mL</t>
  </si>
  <si>
    <t>Aplica: RF</t>
  </si>
  <si>
    <t>105-003687-00</t>
  </si>
  <si>
    <t>1×1 mL</t>
  </si>
  <si>
    <t>Aplica: ADA</t>
  </si>
  <si>
    <t>105-004646-00</t>
  </si>
  <si>
    <t>5 ×0.5 mL</t>
  </si>
  <si>
    <t>Aplica: FR-CRP</t>
  </si>
  <si>
    <t>105-004647-00</t>
  </si>
  <si>
    <t>Aplica: CysC II</t>
  </si>
  <si>
    <t>105-004648-00</t>
  </si>
  <si>
    <t>β2-MG Calibrator (for Serum)</t>
  </si>
  <si>
    <t>Aplica: β2-MG II(for Serum)</t>
  </si>
  <si>
    <t>105-004649-00</t>
  </si>
  <si>
    <t>β2-MG Calibrator (for Urine)</t>
  </si>
  <si>
    <t>Aplica: β2-MG II(for Urine)</t>
  </si>
  <si>
    <t>SUBTOTAL CALIBRADORES (USD)</t>
  </si>
  <si>
    <t>Control</t>
  </si>
  <si>
    <t>105-001145-00</t>
  </si>
  <si>
    <t>Multi Control Sera N</t>
  </si>
  <si>
    <t>10×5 mL</t>
  </si>
  <si>
    <t>MULTISERA</t>
  </si>
  <si>
    <t>105-001146-00</t>
  </si>
  <si>
    <t>Multi Control Sera P</t>
  </si>
  <si>
    <t>105-001143-00</t>
  </si>
  <si>
    <t>Lipoprotein(a) Control N&amp;P</t>
  </si>
  <si>
    <t>(N)2×1 mL +(P)2×1 mL</t>
  </si>
  <si>
    <t>105-002138-00</t>
  </si>
  <si>
    <t>HbA1c Control P</t>
  </si>
  <si>
    <t>4×1mL</t>
  </si>
  <si>
    <t>105-002140-00</t>
  </si>
  <si>
    <t>HbA1c Control N</t>
  </si>
  <si>
    <t xml:space="preserve">105-002136-00 </t>
  </si>
  <si>
    <t>Rheumatism Control N</t>
  </si>
  <si>
    <t>4×3mL</t>
  </si>
  <si>
    <t>RHEU</t>
  </si>
  <si>
    <t>Aplica: HS-CRP; ASO; RF</t>
  </si>
  <si>
    <t xml:space="preserve">105-002137-00 </t>
  </si>
  <si>
    <t>Rheumatism Control P</t>
  </si>
  <si>
    <t>105-002142-00</t>
  </si>
  <si>
    <t>CO2 Control N</t>
  </si>
  <si>
    <t>3×5mL</t>
  </si>
  <si>
    <t>Aplica: CO2</t>
  </si>
  <si>
    <t>105-002143-00</t>
  </si>
  <si>
    <t>FUN Control P</t>
  </si>
  <si>
    <t>3×1mL</t>
  </si>
  <si>
    <t>Aplica: FUN</t>
  </si>
  <si>
    <t>105-002301-00</t>
  </si>
  <si>
    <t>D-Dimer control</t>
  </si>
  <si>
    <t xml:space="preserve"> 1×2 levels×0.5 mL</t>
  </si>
  <si>
    <t>DDIMER</t>
  </si>
  <si>
    <t>Aplica: D-Dimer</t>
  </si>
  <si>
    <t>105-002303-00</t>
  </si>
  <si>
    <t>Multimmun control</t>
  </si>
  <si>
    <t>1×2 levels×3 mL</t>
  </si>
  <si>
    <t>Aplica: MYO; FER; IgE</t>
  </si>
  <si>
    <t>105-002305-00</t>
  </si>
  <si>
    <t>RBPcontrol</t>
  </si>
  <si>
    <t>105-002307-00</t>
  </si>
  <si>
    <t>UIBC control</t>
  </si>
  <si>
    <t>1×1 level×5 mL</t>
  </si>
  <si>
    <t>G-UIBC control</t>
  </si>
  <si>
    <t>105-002308-00</t>
  </si>
  <si>
    <t>G6PD control</t>
  </si>
  <si>
    <t>1×2 levels×1 mL</t>
  </si>
  <si>
    <t>Aplica: G6PD</t>
  </si>
  <si>
    <t>105-002314-00</t>
  </si>
  <si>
    <t>ACE control</t>
  </si>
  <si>
    <t>105-002316-00</t>
  </si>
  <si>
    <t>MALB control</t>
  </si>
  <si>
    <t>105-002318-00</t>
  </si>
  <si>
    <t>TRF control</t>
  </si>
  <si>
    <t>105-002320-00</t>
  </si>
  <si>
    <t>β-HB control</t>
  </si>
  <si>
    <t>1×2 levels×5 mL</t>
  </si>
  <si>
    <t>BHB</t>
  </si>
  <si>
    <t>105-003695-00</t>
  </si>
  <si>
    <t>TBA Control (L)</t>
  </si>
  <si>
    <t>1×5 mL</t>
  </si>
  <si>
    <t>Aplica: TBA</t>
  </si>
  <si>
    <t>105-003697-00</t>
  </si>
  <si>
    <t>ADA Control (L)</t>
  </si>
  <si>
    <t>105-003699-00</t>
  </si>
  <si>
    <r>
      <rPr>
        <sz val="9"/>
        <color rgb="FF000000"/>
        <rFont val="Calibri"/>
        <family val="2"/>
        <charset val="1"/>
      </rPr>
      <t xml:space="preserve">AFU Control 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L&amp;H</t>
    </r>
    <r>
      <rPr>
        <sz val="9"/>
        <color rgb="FF000000"/>
        <rFont val="Noto Sans CJK SC"/>
        <family val="2"/>
      </rPr>
      <t>）</t>
    </r>
  </si>
  <si>
    <t>1×1 mL; 1×1mL</t>
  </si>
  <si>
    <t>AFU</t>
  </si>
  <si>
    <t>Aplica: AFU</t>
  </si>
  <si>
    <t>105-009117-00</t>
  </si>
  <si>
    <t>ClinChem Multi Control (level 1)</t>
  </si>
  <si>
    <t>105-009118-00</t>
  </si>
  <si>
    <t>ClinChem Multi Control (level 2)</t>
  </si>
  <si>
    <t>105-004650-00</t>
  </si>
  <si>
    <t>ASO/CRP/RF Triple Control</t>
  </si>
  <si>
    <t>L: 3×1 mL; H: 3×1 mL</t>
  </si>
  <si>
    <t>Aplica: ASO II RF II FR-CRP</t>
  </si>
  <si>
    <t>105-004651-00</t>
  </si>
  <si>
    <t>CysC Control</t>
  </si>
  <si>
    <t>105-004652-00</t>
  </si>
  <si>
    <t>β2-MG Control</t>
  </si>
  <si>
    <t>B2MG</t>
  </si>
  <si>
    <t>Aplica: β2-MG II</t>
  </si>
  <si>
    <t>105-009193-00</t>
  </si>
  <si>
    <t>TPUC Control</t>
  </si>
  <si>
    <t>L:1×1 ml H:1×1 ml</t>
  </si>
  <si>
    <t>Aplica: TPUC</t>
  </si>
  <si>
    <t>Consumible</t>
  </si>
  <si>
    <t>Detergente para analizador de química BS-230</t>
  </si>
  <si>
    <t>1 L</t>
  </si>
  <si>
    <t>Lavado del sistema (base 04/2026) · Oferta Danco: 12L CD80 $198 (pack distinto)</t>
  </si>
  <si>
    <t>Solución desproteinizante / limpiadora</t>
  </si>
  <si>
    <t>120 mL</t>
  </si>
  <si>
    <t>Limpieza periódica</t>
  </si>
  <si>
    <t>Solución de lavado para equipo de química</t>
  </si>
  <si>
    <t>3700 mL</t>
  </si>
  <si>
    <t>Cotizar</t>
  </si>
  <si>
    <t>Cubetas de reacción PLASTICAS BS-230</t>
  </si>
  <si>
    <t>UND APROXIMADAS</t>
  </si>
  <si>
    <t>Oferta Danco: lote ~100.000 und ≈ $14.000 ($0,14/und). Verificar empaque/precio por caja.</t>
  </si>
  <si>
    <t>Copas de muestra (sample cups)</t>
  </si>
  <si>
    <t>bolsa</t>
  </si>
  <si>
    <t>Papel térmico de impresora</t>
  </si>
  <si>
    <t>rollo</t>
  </si>
  <si>
    <t>SUBTOTAL CONSUMIBLES (USD)</t>
  </si>
  <si>
    <t>CL-900i — CLIA (Quimioluminiscencia)</t>
  </si>
  <si>
    <t>REACTIVOS — CLIA (65 ensayos + 10 nuevos por verificar)</t>
  </si>
  <si>
    <t>Tiroides</t>
  </si>
  <si>
    <t>105-004208-00</t>
  </si>
  <si>
    <t>FT3</t>
  </si>
  <si>
    <t>2*50 T/Kit</t>
  </si>
  <si>
    <t>Free T3 Calibrators</t>
  </si>
  <si>
    <t>TIROIDES</t>
  </si>
  <si>
    <t>2ª pres.: 2*100 T/Kit · P/N 105-004235-00 ·</t>
  </si>
  <si>
    <t>105-004235-00</t>
  </si>
  <si>
    <t>FT3 — Caja grande (2×100)</t>
  </si>
  <si>
    <t>2×100 T/Kit</t>
  </si>
  <si>
    <t>Presentación grande 2×100 · oferta Danco PI 16/06/2026</t>
  </si>
  <si>
    <t>105-004209-00</t>
  </si>
  <si>
    <t>FT4</t>
  </si>
  <si>
    <t>Free T4 Calibrators</t>
  </si>
  <si>
    <t xml:space="preserve">2ª pres.: 2*100 T/Kit · P/N 105-004236-00 · </t>
  </si>
  <si>
    <t>105-004236-00</t>
  </si>
  <si>
    <t>FT4 — Caja grande (2×100)</t>
  </si>
  <si>
    <t>105-004210-00</t>
  </si>
  <si>
    <t>T3</t>
  </si>
  <si>
    <t>Total T3 Calibrators</t>
  </si>
  <si>
    <t>2ª pres.: 2*100 T/Kit · P/N 105-004237-00 ·</t>
  </si>
  <si>
    <t>105-004237-00</t>
  </si>
  <si>
    <t>T3 — Caja grande (2×100)</t>
  </si>
  <si>
    <t>105-004211-00</t>
  </si>
  <si>
    <t>T4</t>
  </si>
  <si>
    <t>Total T4 Calibrators</t>
  </si>
  <si>
    <t xml:space="preserve">2ª pres.: 2*100 T/Kit · P/N 105-004238-00 · </t>
  </si>
  <si>
    <t>105-004238-00</t>
  </si>
  <si>
    <t>T4 — Caja grande (2×100)</t>
  </si>
  <si>
    <t>105-004212-00</t>
  </si>
  <si>
    <t>TSH</t>
  </si>
  <si>
    <t>TSH Calibrators</t>
  </si>
  <si>
    <t xml:space="preserve">2ª pres.: 2*100 T/Kit · P/N 105-004239-00 · </t>
  </si>
  <si>
    <t>105-004239-00</t>
  </si>
  <si>
    <t>TSH — Caja grande (2×100)</t>
  </si>
  <si>
    <t>105-005663-00</t>
  </si>
  <si>
    <t>Tg</t>
  </si>
  <si>
    <t>Thyroglobulin Calibrators</t>
  </si>
  <si>
    <t>2ª pres.: 2*100 T/Kit · P/N 105-005680-00 · $227.17</t>
  </si>
  <si>
    <t>105-005664-00</t>
  </si>
  <si>
    <t>Anti-Tg</t>
  </si>
  <si>
    <t>Anti-Tg Calibrators</t>
  </si>
  <si>
    <t>TIROIDES-AB</t>
  </si>
  <si>
    <t>2ª pres.: 2*100 T/Kit · P/N 105-005681-00 ·</t>
  </si>
  <si>
    <t>105-005681-00</t>
  </si>
  <si>
    <t>Anti-Tg — Caja grande (2×100)</t>
  </si>
  <si>
    <t>105-005665-00</t>
  </si>
  <si>
    <t>Anti-TPO</t>
  </si>
  <si>
    <t>Anti-TPO Calibrators</t>
  </si>
  <si>
    <t xml:space="preserve">2ª pres.: 2*100 T/Kit · P/N 105-005682-00 · </t>
  </si>
  <si>
    <t>105-005682-00</t>
  </si>
  <si>
    <t>Anti-TPO — Caja grande (2×100)</t>
  </si>
  <si>
    <t>105-010692-00</t>
  </si>
  <si>
    <t>rT3</t>
  </si>
  <si>
    <t>rT3 Calibrators</t>
  </si>
  <si>
    <t>RT3</t>
  </si>
  <si>
    <t>2ª pres.: 2*100 T/Kit · P/N 105-010719-00 · $486.79 · 2018 new</t>
  </si>
  <si>
    <t>Tumoral</t>
  </si>
  <si>
    <t>105-004215-00</t>
  </si>
  <si>
    <t>CA125</t>
  </si>
  <si>
    <t>CA125 Calibrators</t>
  </si>
  <si>
    <t>TUMORAL</t>
  </si>
  <si>
    <t>2ª pres.: 2*100 T/Kit · P/N 105-004242-00 · $302.89</t>
  </si>
  <si>
    <t>105-004217-00</t>
  </si>
  <si>
    <t>CA19-9</t>
  </si>
  <si>
    <t>CA19-9 Calibrators</t>
  </si>
  <si>
    <t>2ª pres.: 2*100 T/Kit · P/N 105-004244-00 · $302.89</t>
  </si>
  <si>
    <t>105-004219-00</t>
  </si>
  <si>
    <t>TPSA</t>
  </si>
  <si>
    <t>Total PSA Calibrators</t>
  </si>
  <si>
    <t xml:space="preserve">2ª pres.: 2*100 T/Kit · P/N 105-004246-00 · </t>
  </si>
  <si>
    <t>105-004246-00</t>
  </si>
  <si>
    <t>TPSA — Caja grande (2×100)</t>
  </si>
  <si>
    <t>105-004218-00</t>
  </si>
  <si>
    <t>FPSA</t>
  </si>
  <si>
    <t>Free PSA Calibrators</t>
  </si>
  <si>
    <t xml:space="preserve">2ª pres.: 2*100 T/Kit · P/N 105-004245-00 · </t>
  </si>
  <si>
    <t>105-004245-00</t>
  </si>
  <si>
    <t>FPSA — Caja grande (2×100)</t>
  </si>
  <si>
    <t>105-004213-00</t>
  </si>
  <si>
    <t>CEA</t>
  </si>
  <si>
    <t>CEA Calibrators</t>
  </si>
  <si>
    <t>2ª pres.: 2*100 T/Kit · P/N 105-004240-00 · $194.72</t>
  </si>
  <si>
    <t>105-004214-00</t>
  </si>
  <si>
    <t>AFP</t>
  </si>
  <si>
    <t>AFP Calibrators</t>
  </si>
  <si>
    <t>2ª pres.: 2*100 T/Kit · P/N 105-004241-00 · $173.08</t>
  </si>
  <si>
    <t>105-004220-00</t>
  </si>
  <si>
    <t>Ferritin Calibrators</t>
  </si>
  <si>
    <t xml:space="preserve">METABOLICO </t>
  </si>
  <si>
    <t>2ª pres.: 2*100 T/Kit · P/N 105-004247-00 · $194.72</t>
  </si>
  <si>
    <t>105-004216-00</t>
  </si>
  <si>
    <t>CA15-3</t>
  </si>
  <si>
    <t>CA15-3 Calibrators</t>
  </si>
  <si>
    <t>2ª pres.: 2*100 T/Kit · P/N 105-004243-00 · $302.89</t>
  </si>
  <si>
    <t>105-005668-00</t>
  </si>
  <si>
    <t>CA72-4</t>
  </si>
  <si>
    <t>CA72-4 Calibrators</t>
  </si>
  <si>
    <t>2ª pres.: 2*100 T/Kit · P/N 105-005685-00 · $432.7</t>
  </si>
  <si>
    <t>105-005670-00</t>
  </si>
  <si>
    <t>CYFRA21-1</t>
  </si>
  <si>
    <t>CYFRA21-1 Calibrators</t>
  </si>
  <si>
    <t>2ª pres.: 2*100 T/Kit · P/N 105-005687-00 · $432.7</t>
  </si>
  <si>
    <t>105-005669-00</t>
  </si>
  <si>
    <t>NSE</t>
  </si>
  <si>
    <t>NSE Calibrators</t>
  </si>
  <si>
    <t>2ª pres.: 2*100 T/Kit · P/N 105-005686-00 · $432.7</t>
  </si>
  <si>
    <t>105-010086-00</t>
  </si>
  <si>
    <t>PG I</t>
  </si>
  <si>
    <t>PG I Calibrators</t>
  </si>
  <si>
    <t>GASTRITIS</t>
  </si>
  <si>
    <t>2ª pres.: 2*100 T/Kit · P/N 105-010096-00 · $702.6 · 2018 new</t>
  </si>
  <si>
    <t>105-010087-00</t>
  </si>
  <si>
    <t>PG II</t>
  </si>
  <si>
    <t>PG II Calibrators</t>
  </si>
  <si>
    <t>2ª pres.: 2*100 T/Kit · P/N 105-010097-00 · $702.6 · 2018 new</t>
  </si>
  <si>
    <t>105-010090-00</t>
  </si>
  <si>
    <t>CA50</t>
  </si>
  <si>
    <t>CA 50 Calibrators</t>
  </si>
  <si>
    <t>2ª pres.: 2*100 T/Kit · P/N 105-010100-00 · $545.2 · 2018 new</t>
  </si>
  <si>
    <t>105-010089-00</t>
  </si>
  <si>
    <t>CA242</t>
  </si>
  <si>
    <t>CA 242 Calibrators</t>
  </si>
  <si>
    <t>2ª pres.: 2*100 T/Kit · P/N 105-010099-00 · $545.2 · 2018 new</t>
  </si>
  <si>
    <t>105-010088-00</t>
  </si>
  <si>
    <t>HE4</t>
  </si>
  <si>
    <t>HE-4 Calibrators</t>
  </si>
  <si>
    <t>2ª pres.: 2*100 T/Kit · P/N 105-010098-00 · $1022.26 · 2018 new</t>
  </si>
  <si>
    <t>105-010085-00</t>
  </si>
  <si>
    <t>SCCA</t>
  </si>
  <si>
    <t>SCC Calibrators</t>
  </si>
  <si>
    <t>2ª pres.: 2*100 T/Kit · P/N 105-010095-00 · $681.5 · 2018 new</t>
  </si>
  <si>
    <t>105-010084-00</t>
  </si>
  <si>
    <t>ProGRP</t>
  </si>
  <si>
    <t>ProGRP Calibrators</t>
  </si>
  <si>
    <t>PROGRP</t>
  </si>
  <si>
    <t>2ª pres.: 2*100 T/Kit · P/N 105-010094-00 · $1022.26 · 2018 new</t>
  </si>
  <si>
    <t>Fertilidad</t>
  </si>
  <si>
    <t>105-004221-00</t>
  </si>
  <si>
    <t>HCG</t>
  </si>
  <si>
    <t>Total β HCG Calibrators</t>
  </si>
  <si>
    <t>FERTILIDAD</t>
  </si>
  <si>
    <t>2ª pres.: 2*100 T/Kit · P/N 105-004248-00 · $146.04</t>
  </si>
  <si>
    <t>105-004248-00</t>
  </si>
  <si>
    <t>HCG — Caja grande (2×100)</t>
  </si>
  <si>
    <t>3a pres.: 2*100 T/Kit · P/N 105-004248-00 · $146.04</t>
  </si>
  <si>
    <t>105-004223-00</t>
  </si>
  <si>
    <t>LH</t>
  </si>
  <si>
    <t>LH Calibrators</t>
  </si>
  <si>
    <t xml:space="preserve">2ª pres.: 2*100 T/Kit · P/N 105-004250-00 · </t>
  </si>
  <si>
    <t>105-004250-00</t>
  </si>
  <si>
    <t>LH — Caja grande (2×100)</t>
  </si>
  <si>
    <t>105-004222-00</t>
  </si>
  <si>
    <t>FSH</t>
  </si>
  <si>
    <t>FSH Calibrators</t>
  </si>
  <si>
    <t xml:space="preserve">2ª pres.: 2*100 T/Kit · P/N 105-004249-00 </t>
  </si>
  <si>
    <t>105-004249-00</t>
  </si>
  <si>
    <t>FSH — Caja grande (2×100)</t>
  </si>
  <si>
    <t>105-004224-00</t>
  </si>
  <si>
    <t>Prolactin</t>
  </si>
  <si>
    <t>Prolactin Calibrators</t>
  </si>
  <si>
    <t xml:space="preserve">2ª pres.: 2*100 T/Kit · P/N 105-004251-00 · </t>
  </si>
  <si>
    <t>105-004251-00</t>
  </si>
  <si>
    <t>Prolactin — Caja grande (2×100)</t>
  </si>
  <si>
    <t>105-004226-00</t>
  </si>
  <si>
    <t>E3</t>
  </si>
  <si>
    <t>Estriol Calibrators</t>
  </si>
  <si>
    <t>2ª pres.: 2*100 T/Kit · P/N 105-004253-00 · $214.19</t>
  </si>
  <si>
    <t>105-004228-00</t>
  </si>
  <si>
    <t>Progesterone</t>
  </si>
  <si>
    <t>Progesterone Calibrators</t>
  </si>
  <si>
    <t xml:space="preserve">2ª pres.: 2*100 T/Kit · P/N 105-004255-00 </t>
  </si>
  <si>
    <t>105-004255-00</t>
  </si>
  <si>
    <t>Progesterone — Caja grande (2×100)</t>
  </si>
  <si>
    <t>105-004227-00</t>
  </si>
  <si>
    <t>Testosterone</t>
  </si>
  <si>
    <t>Testosterone Calibrators</t>
  </si>
  <si>
    <t>2ª pres.: 2*100 T/Kit · P/N 105-004254-00 · $129.81</t>
  </si>
  <si>
    <t>105-004254-00</t>
  </si>
  <si>
    <t>Testosterone — Caja grande (2×100)</t>
  </si>
  <si>
    <t>3a pres.: 2*100 T/Kit · P/N 105-004254-00 · $129.81</t>
  </si>
  <si>
    <t>105-004225-00</t>
  </si>
  <si>
    <t>E2</t>
  </si>
  <si>
    <t>Estradiol Calibrators</t>
  </si>
  <si>
    <t xml:space="preserve">2ª pres.: 2*100 T/Kit · P/N 105-004252-00 · </t>
  </si>
  <si>
    <t>105-004252-00</t>
  </si>
  <si>
    <t>E2 — Caja grande (2×100)</t>
  </si>
  <si>
    <t>Diabetes</t>
  </si>
  <si>
    <t>105-005666-00</t>
  </si>
  <si>
    <t>Insulin</t>
  </si>
  <si>
    <t>Insulin Calibrators</t>
  </si>
  <si>
    <t>INMUNO</t>
  </si>
  <si>
    <t xml:space="preserve">2ª pres.: 2*100 T/Kit · P/N 105-005683-00 · </t>
  </si>
  <si>
    <t>105-005683-00</t>
  </si>
  <si>
    <t>Insulin — Caja grande (2×100)</t>
  </si>
  <si>
    <t>105-005667-00</t>
  </si>
  <si>
    <t>C-peptide</t>
  </si>
  <si>
    <t>C-peptide Calibrators</t>
  </si>
  <si>
    <t>2ª pres.: 2*100 T/Kit · P/N 105-005684-00 · $276.93</t>
  </si>
  <si>
    <t>Otros</t>
  </si>
  <si>
    <t>105-005674-00</t>
  </si>
  <si>
    <t>DHEA-S</t>
  </si>
  <si>
    <t>DHEA-S Calibrators</t>
  </si>
  <si>
    <t>2ª pres.: 2*100 T/Kit · P/N 105-005691-00 · $302.89</t>
  </si>
  <si>
    <t>105-005673-00</t>
  </si>
  <si>
    <t>Cortisol</t>
  </si>
  <si>
    <t>Cortisol Calibrators</t>
  </si>
  <si>
    <t>2ª pres.: 2*100 T/Kit · P/N 105-005690-00 · $259.62</t>
  </si>
  <si>
    <t>105-005690-00</t>
  </si>
  <si>
    <t>Cortisol — Caja grande (2×100)</t>
  </si>
  <si>
    <t>3a pres.: 2*100 T/Kit · P/N 105-005690-00 · $259.62</t>
  </si>
  <si>
    <t>105-005675-00</t>
  </si>
  <si>
    <t>ACTH</t>
  </si>
  <si>
    <t>ACTH Calibrators</t>
  </si>
  <si>
    <t>2ª pres.: 2*100 T/Kit · P/N 105-005692-00 · $367.8</t>
  </si>
  <si>
    <t>Cardíaco</t>
  </si>
  <si>
    <t>105-005659-00</t>
  </si>
  <si>
    <t>Troponin I</t>
  </si>
  <si>
    <t>Troponin I Calibrators</t>
  </si>
  <si>
    <t>CARDIACO</t>
  </si>
  <si>
    <t>2ª pres.: 2*100 T/Kit · P/N 105-005676-00 · $389.43</t>
  </si>
  <si>
    <t>105-005661-00</t>
  </si>
  <si>
    <t>MYO</t>
  </si>
  <si>
    <t>MYO Calibrators</t>
  </si>
  <si>
    <t>2ª pres.: 2*100 T/Kit · P/N 105-005678-00 · $242.31</t>
  </si>
  <si>
    <t>105-005662-00</t>
  </si>
  <si>
    <t>CK-MB Calibrators</t>
  </si>
  <si>
    <t>2ª pres.: 2*100 T/Kit · P/N 105-005679-00 · $242.31</t>
  </si>
  <si>
    <t>105-005660-00</t>
  </si>
  <si>
    <t>BNP</t>
  </si>
  <si>
    <t>BNP Calibrators</t>
  </si>
  <si>
    <t>2ª pres.: 2*100 T/Kit · P/N 105-005677-00 · $853.5</t>
  </si>
  <si>
    <t>Metabólico</t>
  </si>
  <si>
    <t>105-008684-00</t>
  </si>
  <si>
    <t>PTH</t>
  </si>
  <si>
    <t>PTH Calibrators</t>
  </si>
  <si>
    <t>METABOLICO</t>
  </si>
  <si>
    <t>2ª pres.: 2*100 T/Kit · P/N 105-008689-00 · $519.24</t>
  </si>
  <si>
    <t>105-008685-00</t>
  </si>
  <si>
    <t>CT</t>
  </si>
  <si>
    <t>Calcitonin Calibrators</t>
  </si>
  <si>
    <t>2ª pres.: 2*100 T/Kit · P/N 105-008690-00 · $519.24</t>
  </si>
  <si>
    <t>105-008681-00</t>
  </si>
  <si>
    <t>VD-T</t>
  </si>
  <si>
    <t>1*50 T/Kit</t>
  </si>
  <si>
    <t>25-OH-Vitamin D Total Calibrators</t>
  </si>
  <si>
    <t>2ª pres.: 1*100 T/Kit · P/N 105-008686-00 · $269.36</t>
  </si>
  <si>
    <t>105-008682-00</t>
  </si>
  <si>
    <t>VB12</t>
  </si>
  <si>
    <t>Vitamin B12 Calibrators</t>
  </si>
  <si>
    <t>2ª pres.: 2*100 T/Kit · P/N 105-008687-00 · $324.53</t>
  </si>
  <si>
    <t>105-008683-00</t>
  </si>
  <si>
    <t>Folate</t>
  </si>
  <si>
    <t>Folate Calibrators</t>
  </si>
  <si>
    <t>2ª pres.: 1*100 T/Kit · P/N 105-008688-00 · $225.0</t>
  </si>
  <si>
    <t>105-011258-00</t>
  </si>
  <si>
    <t>RBC Folate</t>
  </si>
  <si>
    <t>2*50 mL</t>
  </si>
  <si>
    <t>Infecciosas</t>
  </si>
  <si>
    <t>105-006063-00</t>
  </si>
  <si>
    <t>HBsAg (CE)</t>
  </si>
  <si>
    <t>HBsAg Calibrators</t>
  </si>
  <si>
    <t>HBSAG</t>
  </si>
  <si>
    <t>2ª pres.: 2*100 T/Kit · P/N 105-006069-00 · $216.35</t>
  </si>
  <si>
    <t>105-006064-00</t>
  </si>
  <si>
    <t>Anti-HBs (CE)</t>
  </si>
  <si>
    <t>Anti-HBs Calibrators</t>
  </si>
  <si>
    <t>ANTIHBS</t>
  </si>
  <si>
    <t>2ª pres.: 2*100 T/Kit · P/N 105-006070-00 · $173.08</t>
  </si>
  <si>
    <t>105-006065-00</t>
  </si>
  <si>
    <t>HBeAg (CE)</t>
  </si>
  <si>
    <t>HBeAg Calibrators</t>
  </si>
  <si>
    <t>HBEAG</t>
  </si>
  <si>
    <t>2ª pres.: 2*100 T/Kit · P/N 105-006071-00 · $173.08</t>
  </si>
  <si>
    <t>105-006066-00</t>
  </si>
  <si>
    <t>Anti-HBe (CE)</t>
  </si>
  <si>
    <t>Anti-HBe Calibrators</t>
  </si>
  <si>
    <t>ANTIHBE</t>
  </si>
  <si>
    <t>2ª pres.: 2*100 T/Kit · P/N 105-006072-00 · $173.08</t>
  </si>
  <si>
    <t>105-006067-00</t>
  </si>
  <si>
    <t>Anti-HBc (CE)</t>
  </si>
  <si>
    <t>Anti-HBc Calibrators</t>
  </si>
  <si>
    <t>ANTIHBC</t>
  </si>
  <si>
    <t>2ª pres.: 2*100 T/Kit · P/N 105-006073-00 · $173.08</t>
  </si>
  <si>
    <t>105-005672-00</t>
  </si>
  <si>
    <t>Anti-HCV (non-CE)</t>
  </si>
  <si>
    <t>Anti-HCV Calibrators</t>
  </si>
  <si>
    <t>ANTIHCV</t>
  </si>
  <si>
    <t>2ª pres.: 2*100 T/Kit · P/N 105-005689-00 · $259.62</t>
  </si>
  <si>
    <t>105-005671-00</t>
  </si>
  <si>
    <t>Anti-TP</t>
  </si>
  <si>
    <t>Anti-TP Calibrators</t>
  </si>
  <si>
    <t>ANTITP</t>
  </si>
  <si>
    <t>2ª pres.: 2*100 T/Kit · P/N 105-005688-00 · $302.89</t>
  </si>
  <si>
    <t>105-006068-00</t>
  </si>
  <si>
    <t>HIV (CE)</t>
  </si>
  <si>
    <t>HIV Calibrators</t>
  </si>
  <si>
    <t>HIV</t>
  </si>
  <si>
    <t>2ª pres.: 2*100 T/Kit · P/N 105-006074-00 · $359.14</t>
  </si>
  <si>
    <t>Fibrosis hep.</t>
  </si>
  <si>
    <t>105-010715-00</t>
  </si>
  <si>
    <t>LN</t>
  </si>
  <si>
    <t>Incluido en kit del reactivo</t>
  </si>
  <si>
    <t>FIBROSIS</t>
  </si>
  <si>
    <t>2ª pres.: 2*100 T/Kit · P/N 105-010742-00 · $395.92 · 2018 new, calibrator inside</t>
  </si>
  <si>
    <t>105-010716-00</t>
  </si>
  <si>
    <t>HA</t>
  </si>
  <si>
    <t>2ª pres.: 2*100 T/Kit · P/N 105-010743-00 · $395.92 · 2018 new, calibrator inside</t>
  </si>
  <si>
    <t>105-010717-00</t>
  </si>
  <si>
    <t>PIIINP</t>
  </si>
  <si>
    <t>2ª pres.: 2*100 T/Kit · P/N 105-010744-00 · $395.92 · 2018 new, calibrator inside</t>
  </si>
  <si>
    <t>105-010718-00</t>
  </si>
  <si>
    <t>C IV</t>
  </si>
  <si>
    <t>2ª pres.: 2*100 T/Kit · P/N 105-010745-00 · $395.92 · 2018 new, calibrator inside</t>
  </si>
  <si>
    <t>105-010703-00</t>
  </si>
  <si>
    <t>PCT</t>
  </si>
  <si>
    <t>PCT Calibrators</t>
  </si>
  <si>
    <t>2ª pres.: 2*100 T/Kit · P/N 105-010730-00 · $1082.29 · 2018 new</t>
  </si>
  <si>
    <t>Hipertensión</t>
  </si>
  <si>
    <t>105-011848-00</t>
  </si>
  <si>
    <t>ALD</t>
  </si>
  <si>
    <t>ALD Clibrators</t>
  </si>
  <si>
    <t>HIPERTENSION</t>
  </si>
  <si>
    <t>2ª pres.: 2*100 T/Kit · P/N 105-011849-00 · $733.43</t>
  </si>
  <si>
    <t>105-011772-00</t>
  </si>
  <si>
    <t>Renin</t>
  </si>
  <si>
    <t>Renin Calibrators</t>
  </si>
  <si>
    <t>2ª pres.: 2*100 T/Kit · P/N 105-011773-00 · $441.35</t>
  </si>
  <si>
    <t>AMH (Hormona antimülleriana)</t>
  </si>
  <si>
    <t>(verificar)</t>
  </si>
  <si>
    <t>NUEVO — verificar disponibilidad/precio</t>
  </si>
  <si>
    <t>SARS-CoV-2 IgG</t>
  </si>
  <si>
    <t>SARS-CoV-2 IgM</t>
  </si>
  <si>
    <t>SARS-CoV-2 Ac totales</t>
  </si>
  <si>
    <t>SARS-CoV-2 Ac neutralizantes</t>
  </si>
  <si>
    <t>Troponina I alta sensibilidad (hs-cTnI)</t>
  </si>
  <si>
    <t>Inflamación</t>
  </si>
  <si>
    <t>IL-6 (Interleucina-6)</t>
  </si>
  <si>
    <t>Preeclampsia</t>
  </si>
  <si>
    <t>sFlt-1</t>
  </si>
  <si>
    <t>PlGF</t>
  </si>
  <si>
    <t>Autoinmune</t>
  </si>
  <si>
    <t>Anti-CCP</t>
  </si>
  <si>
    <t>CALIBRADORES — CLIA (60; «Σ» suma los reactivos que lo usan)</t>
  </si>
  <si>
    <t>105-004277-00</t>
  </si>
  <si>
    <t>3*2ml</t>
  </si>
  <si>
    <t>105-004278-00</t>
  </si>
  <si>
    <t>105-004279-00</t>
  </si>
  <si>
    <t>105-004280-00</t>
  </si>
  <si>
    <t>105-004281-00</t>
  </si>
  <si>
    <t>105-005914-00</t>
  </si>
  <si>
    <t>105-005915-00</t>
  </si>
  <si>
    <t>105-005916-00</t>
  </si>
  <si>
    <t>105-010213-00</t>
  </si>
  <si>
    <t>C0:1×1.2ml C1:1×1.0ml C2: 1×1.0ml</t>
  </si>
  <si>
    <t>105-004284-00</t>
  </si>
  <si>
    <t>105-004286-00</t>
  </si>
  <si>
    <t>105-004288-00</t>
  </si>
  <si>
    <t>105-004287-00</t>
  </si>
  <si>
    <t>105-004282-00</t>
  </si>
  <si>
    <t>105-004283-00</t>
  </si>
  <si>
    <t>105-004289-00</t>
  </si>
  <si>
    <t>105-004285-00</t>
  </si>
  <si>
    <t>105-005919-00</t>
  </si>
  <si>
    <t>105-005921-00</t>
  </si>
  <si>
    <t>105-005920-00</t>
  </si>
  <si>
    <t>105-010136-00</t>
  </si>
  <si>
    <t>105-010137-00</t>
  </si>
  <si>
    <t>105-010140-00</t>
  </si>
  <si>
    <t>105-010139-00</t>
  </si>
  <si>
    <t>105-010138-00</t>
  </si>
  <si>
    <t>105-010135-00</t>
  </si>
  <si>
    <t>105-010134-00</t>
  </si>
  <si>
    <t>105-004290-00</t>
  </si>
  <si>
    <t>105-004292-00</t>
  </si>
  <si>
    <t>105-004291-00</t>
  </si>
  <si>
    <t>105-004293-00</t>
  </si>
  <si>
    <t>105-004297-00</t>
  </si>
  <si>
    <t>105-004295-00</t>
  </si>
  <si>
    <t>105-004294-00</t>
  </si>
  <si>
    <t>105-004296-00</t>
  </si>
  <si>
    <t>105-005917-00</t>
  </si>
  <si>
    <t>105-005918-00</t>
  </si>
  <si>
    <t>105-005925-00</t>
  </si>
  <si>
    <t>105-005924-00</t>
  </si>
  <si>
    <t>105-005926-00</t>
  </si>
  <si>
    <t>105-005910-00</t>
  </si>
  <si>
    <t>105-005912-00</t>
  </si>
  <si>
    <t>105-005913-00</t>
  </si>
  <si>
    <t>105-005911-00</t>
  </si>
  <si>
    <t>105-008553-00</t>
  </si>
  <si>
    <t>105-008550-00</t>
  </si>
  <si>
    <t>105-008549-00</t>
  </si>
  <si>
    <t>105-008552-00</t>
  </si>
  <si>
    <t>105-008551-00</t>
  </si>
  <si>
    <t>105-004298-00</t>
  </si>
  <si>
    <t>105-004299-00</t>
  </si>
  <si>
    <t>105-004300-00</t>
  </si>
  <si>
    <t>2*2ml</t>
  </si>
  <si>
    <t>105-004301-00</t>
  </si>
  <si>
    <t>105-004302-00</t>
  </si>
  <si>
    <t>105-005923-00</t>
  </si>
  <si>
    <t>105-005922-00</t>
  </si>
  <si>
    <t>105-004303-00</t>
  </si>
  <si>
    <t>105-010219-00</t>
  </si>
  <si>
    <t>C0:1×1.2 mL
C1:1×1.0 mL
C2:1×1.0 mL</t>
  </si>
  <si>
    <t>105-011969-00</t>
  </si>
  <si>
    <t>C0:1×1.0 ml,C1:1×1.0ml,C2:1×1.0ml</t>
  </si>
  <si>
    <t>105-012129-00</t>
  </si>
  <si>
    <t>C0:1×1.2ml,C1:1×1.0ml,C2:1×1.0ml</t>
  </si>
  <si>
    <t>CONTROLES — CLIA multi-panel (30; «Σ» suma los reactivos del panel)</t>
  </si>
  <si>
    <t>105-007371-00</t>
  </si>
  <si>
    <t>Thyroid Function Multi Control  (H)</t>
  </si>
  <si>
    <t>6*5ml</t>
  </si>
  <si>
    <t>Nivel: Thyroid Function Multi Control (L). Aplica: T3, T4, FT3, FT4, TSH, Tg</t>
  </si>
  <si>
    <t>105-007371-01</t>
  </si>
  <si>
    <t>Thyroid Function Multi Control  (L)</t>
  </si>
  <si>
    <t>105-007373-00</t>
  </si>
  <si>
    <t>Tumor Marker Multi Control. (H)</t>
  </si>
  <si>
    <r>
      <rPr>
        <sz val="8"/>
        <color rgb="FF595959"/>
        <rFont val="Calibri"/>
        <family val="2"/>
        <charset val="1"/>
      </rPr>
      <t>Nivel: Tumor Marker Multi Control (L). Aplica: AFP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CEA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CA125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CA15-3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CA19-9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t-PSA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FERR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CA72-4</t>
    </r>
  </si>
  <si>
    <t>105-007373-01</t>
  </si>
  <si>
    <t>Tumor Marker Multi Control. (L)</t>
  </si>
  <si>
    <r>
      <rPr>
        <sz val="8"/>
        <color rgb="FF595959"/>
        <rFont val="Calibri"/>
        <family val="2"/>
        <charset val="1"/>
      </rPr>
      <t>Nivel: Tumor Marker Multi Control (L). Aplica: AFP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CEA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CA125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CA15-3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CA19-9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t-PSA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FERR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CA72-5</t>
    </r>
  </si>
  <si>
    <t>105-004266-00</t>
  </si>
  <si>
    <t>Reproductive Multi Control (H)</t>
  </si>
  <si>
    <t>Nivel: Reproductive Multi Control (L). Aplica: LH, FSH, E2, E3, PROG, TESTO, Total beta-HCG, PRL</t>
  </si>
  <si>
    <t>105-004266-01</t>
  </si>
  <si>
    <t>Reproductive Multi Control (L)</t>
  </si>
  <si>
    <t>105-005945-00</t>
  </si>
  <si>
    <t>Anti-thyroid Antibodies Control (H)</t>
  </si>
  <si>
    <t>6*2ml</t>
  </si>
  <si>
    <t>Nivel: Anti-thyroid Antibodies Control (L). Aplica: Anti-Tg,Anti-TPO</t>
  </si>
  <si>
    <t>105-005945-01</t>
  </si>
  <si>
    <t>Anti-thyroid Antibodies Control (L)</t>
  </si>
  <si>
    <t>105-005927-00</t>
  </si>
  <si>
    <t>Cardiac Marker Multi Control</t>
  </si>
  <si>
    <t>Nivel: Cardiac Marker Multi Control (L). Aplica: Troponin I, BNP, MYO, CK-MB</t>
  </si>
  <si>
    <t>Diabetes &amp; Other</t>
  </si>
  <si>
    <t>105-005929-00</t>
  </si>
  <si>
    <t>Immunoassay Multi Control (H)</t>
  </si>
  <si>
    <t>Nivel: Immunoassay Multi Control (L). Aplica: Insulin, C-Peptide, Cortisol, DHEA-S</t>
  </si>
  <si>
    <t>105-005929-01</t>
  </si>
  <si>
    <t>Immunoassay Multi Control (L)</t>
  </si>
  <si>
    <t>105-005953-00</t>
  </si>
  <si>
    <t>ACTH Control</t>
  </si>
  <si>
    <t>Nivel: ACTH Control (L). Aplica: ACTH</t>
  </si>
  <si>
    <t>105-008556-00</t>
  </si>
  <si>
    <t>Metabolic Multi Control (H)</t>
  </si>
  <si>
    <t>Nivel: Metabolic Multi Control (L). Aplica: VD, VB12, Folate, PTH, CT, Ferritin</t>
  </si>
  <si>
    <t>105-008556-01</t>
  </si>
  <si>
    <t>Metabolic Multi Control (L)</t>
  </si>
  <si>
    <t>105-005951-00</t>
  </si>
  <si>
    <t>NSE control</t>
  </si>
  <si>
    <t>Nivel: NSE control (L). Aplica: NSE</t>
  </si>
  <si>
    <t>105-005170-00</t>
  </si>
  <si>
    <t>HBsAg Positive Control</t>
  </si>
  <si>
    <t>Nivel: /. Aplica: HBsAg</t>
  </si>
  <si>
    <t>105-005169-00</t>
  </si>
  <si>
    <t>HBsAg Negative Control</t>
  </si>
  <si>
    <t xml:space="preserve">Nivel: /. </t>
  </si>
  <si>
    <t>105-005172-00</t>
  </si>
  <si>
    <t>Anti-HBs Positive Control</t>
  </si>
  <si>
    <t>Nivel: /. Aplica: Anti-HBs</t>
  </si>
  <si>
    <t>105-005171-00</t>
  </si>
  <si>
    <t>Anti-HBs Negative Control</t>
  </si>
  <si>
    <t>105-005174-00</t>
  </si>
  <si>
    <t>HBeAg Positive Control</t>
  </si>
  <si>
    <t>Nivel: /. Aplica: HBeAg</t>
  </si>
  <si>
    <t>105-005173-00</t>
  </si>
  <si>
    <t>HBeAg Negative Control</t>
  </si>
  <si>
    <t>105-005176-00</t>
  </si>
  <si>
    <t>Anti-HBe Positive Control</t>
  </si>
  <si>
    <t>Nivel: /. Aplica: Anti-Hbe</t>
  </si>
  <si>
    <t>105-005175-00</t>
  </si>
  <si>
    <t>Anti-HBe Negative Control</t>
  </si>
  <si>
    <t>105-005178-00</t>
  </si>
  <si>
    <t>Anti-HBc Positive Control</t>
  </si>
  <si>
    <t>Nivel: /. Aplica: Anti-HBc</t>
  </si>
  <si>
    <t>105-005177-00</t>
  </si>
  <si>
    <t>Anti-HBc Negative Control</t>
  </si>
  <si>
    <t>105-005950-00</t>
  </si>
  <si>
    <t>Anti-HCV Control</t>
  </si>
  <si>
    <t>Nivel: Anti-HCV Positive Control. Aplica: Anti-HCV</t>
  </si>
  <si>
    <t>105-005950-01</t>
  </si>
  <si>
    <t>Anti-HCV Control NEGATIVE</t>
  </si>
  <si>
    <t>Anti-HCV Control POSITIVE</t>
  </si>
  <si>
    <t>105-005948-01</t>
  </si>
  <si>
    <t>Anti-TP Control POSITIVE</t>
  </si>
  <si>
    <t>Nivel: Anti-TP Positive Control. Aplica: Anti-TP</t>
  </si>
  <si>
    <t>105-005948-00</t>
  </si>
  <si>
    <t>Anti-TP Control NEGATIVE</t>
  </si>
  <si>
    <t>105-005192-00</t>
  </si>
  <si>
    <t>HIV Ag Positive Control</t>
  </si>
  <si>
    <t>Nivel: 6×2.0mL (3×2.0mL HIV Ag Positive Control, 3×2.0mL HIV Ab Positive Control). Aplica: HIV</t>
  </si>
  <si>
    <t>105-005179-00</t>
  </si>
  <si>
    <t>HIV Ag/Ab Negative Control</t>
  </si>
  <si>
    <t>105-005179-01</t>
  </si>
  <si>
    <t>HIV Ab Positive Control</t>
  </si>
  <si>
    <t>Anti-TP Control</t>
  </si>
  <si>
    <t>HIV Ag/Ab Positive Control</t>
  </si>
  <si>
    <t>105-010240-00</t>
  </si>
  <si>
    <t>rT3 Control</t>
  </si>
  <si>
    <t>6*1ml</t>
  </si>
  <si>
    <t>Nivel: rT3 Control (L). Aplica: rT3</t>
  </si>
  <si>
    <t>105-010154-00</t>
  </si>
  <si>
    <t>Gastritis Multi Control</t>
  </si>
  <si>
    <t>Nivel: Gastritis Multi Control (L). Aplica: PG, PG II</t>
  </si>
  <si>
    <t>105-010249-00</t>
  </si>
  <si>
    <t>Liver Fibrosis Multi Control</t>
  </si>
  <si>
    <t>Nivel: Liver Fibrosis Multi Control (L). Aplica: LN, HA, PIIINP, C IV</t>
  </si>
  <si>
    <t>105-010248-00</t>
  </si>
  <si>
    <t>PCT Control</t>
  </si>
  <si>
    <t>Nivel: PCT Control (L). Aplica: PCT</t>
  </si>
  <si>
    <t>Tumor Marker (II)</t>
  </si>
  <si>
    <t>105-010146-00</t>
  </si>
  <si>
    <t>Tumor Marker Control II</t>
  </si>
  <si>
    <t>3*2.0ml</t>
  </si>
  <si>
    <t>Nivel: Tumor Marker Control II(L). Aplica: CA242,CA50,HE4,SCCA</t>
  </si>
  <si>
    <t>105-010145-00</t>
  </si>
  <si>
    <t>ProGRP Control</t>
  </si>
  <si>
    <t>3*1.0ml</t>
  </si>
  <si>
    <t>Nivel: ProGRP Control(L). Aplica: ProGRP</t>
  </si>
  <si>
    <t>105-012440-00</t>
  </si>
  <si>
    <t>Hypertension Muti Control</t>
  </si>
  <si>
    <t>6×2.0ml</t>
  </si>
  <si>
    <t>Nivel: Hypertension Muti Control(H). Aplica: Renin, ALD</t>
  </si>
  <si>
    <t>CONSUMIBLES / OPERACIÓN — uso diario (sustrato, buffers, cubetas, diluyentes)</t>
  </si>
  <si>
    <t>115-035753-00</t>
  </si>
  <si>
    <t>Reaction Cuvette for Chemiluminescence Immunoassay Analyzer</t>
  </si>
  <si>
    <t>21*2*88=3696 pcs/box</t>
  </si>
  <si>
    <t>Serie CL; confirmar cubeta exacta del CL-900i</t>
  </si>
  <si>
    <t>115-025456-00</t>
  </si>
  <si>
    <t>126 *24 = 3024 pcs/box</t>
  </si>
  <si>
    <t>105-015410-00</t>
  </si>
  <si>
    <t>PROBE CLEANER</t>
  </si>
  <si>
    <t>50mL/bottle</t>
  </si>
  <si>
    <t xml:space="preserve">105-004274-00 </t>
  </si>
  <si>
    <t>Substrate solution</t>
  </si>
  <si>
    <t>115 ml * 4</t>
  </si>
  <si>
    <t>105-009044-00</t>
  </si>
  <si>
    <t>75 ml * 4</t>
  </si>
  <si>
    <t xml:space="preserve">105-004552-00 </t>
  </si>
  <si>
    <t>Wash buffer</t>
  </si>
  <si>
    <t>10 L/tank</t>
  </si>
  <si>
    <t xml:space="preserve"> 105-000748-00</t>
  </si>
  <si>
    <t>CD80</t>
  </si>
  <si>
    <t>1 L/bottle</t>
  </si>
  <si>
    <t>105-004276-00</t>
  </si>
  <si>
    <t>Sample Diluent</t>
  </si>
  <si>
    <t>2*30 mL/box</t>
  </si>
  <si>
    <t>105-004628-00</t>
  </si>
  <si>
    <t>6*8 mL/box</t>
  </si>
  <si>
    <t>043-005638-00</t>
  </si>
  <si>
    <t>Sample rack adaptor for CL-1000i</t>
  </si>
  <si>
    <t>1 pcs</t>
  </si>
  <si>
    <t>105-009143-00</t>
  </si>
  <si>
    <t>System Wash Solution</t>
  </si>
  <si>
    <t>4*20ml/box</t>
  </si>
  <si>
    <t>105-009141-00</t>
  </si>
  <si>
    <t>System Detection Solution</t>
  </si>
  <si>
    <t>A: 5*3ml; B: 1*5ml</t>
  </si>
  <si>
    <t>Caja de desechos de cubetas</t>
  </si>
  <si>
    <t>200 / caja</t>
  </si>
  <si>
    <t>Copas de muestra / puntas</t>
  </si>
  <si>
    <t>TOTAL CL-900i (USD)</t>
  </si>
  <si>
    <t>Hematología — BC-5380 y BC-5000 (Auto 5-Diff)</t>
  </si>
  <si>
    <t>Serie M-53, control BC-5D y calibrador · costo CIACLAB 04/2026 (USD)</t>
  </si>
  <si>
    <t>Grupo</t>
  </si>
  <si>
    <t>REF (tu lista)</t>
  </si>
  <si>
    <t>Reactivo / Descripción</t>
  </si>
  <si>
    <t>Cant. BC-5380</t>
  </si>
  <si>
    <t>Cant. BC-5000</t>
  </si>
  <si>
    <t>Cant. total</t>
  </si>
  <si>
    <t>Recom./Mi cant.</t>
  </si>
  <si>
    <t>REACTIVOS — Serie M-53 (comunes a BC-5380 y BC-5000)</t>
  </si>
  <si>
    <t>Diluyente</t>
  </si>
  <si>
    <t>BC 5380</t>
  </si>
  <si>
    <t>DILUENTE EQUIPO HEMATOLOGÍA M53D</t>
  </si>
  <si>
    <t>x 20 LITROS</t>
  </si>
  <si>
    <t>Base 04/2026</t>
  </si>
  <si>
    <t>BC 5000</t>
  </si>
  <si>
    <t>DILUENTE EQUIPO HEMATOLOGÍA M52D</t>
  </si>
  <si>
    <t>Base 04/2027</t>
  </si>
  <si>
    <t>Lisante</t>
  </si>
  <si>
    <t>LEO I MINDRAY M53 BC 5380</t>
  </si>
  <si>
    <t>1 LITRO</t>
  </si>
  <si>
    <t>Base 04/2026 · Oferta Danco: M-53 LEO(I) Lyse 1Lx4 $135 (pack distinto)</t>
  </si>
  <si>
    <t>LEO II MINDRAY M53 BC 5380</t>
  </si>
  <si>
    <t>200 ML</t>
  </si>
  <si>
    <t>Base 04/2026 · Oferta Danco: M-53 LEO(II) Lyse 200mLx4 $94 (pack distinto)</t>
  </si>
  <si>
    <t>LYSE M-53LH</t>
  </si>
  <si>
    <t>4*500 ML</t>
  </si>
  <si>
    <t>Base 04/2026 · Oferta Danco: M-53 LH Lyse 500mLx4 $108 (pack distinto)</t>
  </si>
  <si>
    <t>LYSE M-52LH</t>
  </si>
  <si>
    <t>500 ML</t>
  </si>
  <si>
    <t>Base 04/2026 · Oferta Danco: M-52LH Lyse 100mLx4 $65 (pack distinto)</t>
  </si>
  <si>
    <t>LEO I MINDRAY BC 5000</t>
  </si>
  <si>
    <t>Base 04/2026 · Oferta Danco: ver M-52DIFF Lyse 500mLx4 $101 (verificar correspondencia)</t>
  </si>
  <si>
    <t>Limpiador</t>
  </si>
  <si>
    <t>RINSE MINDRAY</t>
  </si>
  <si>
    <t>20 LITROS</t>
  </si>
  <si>
    <t>Total kits de reactivo (referencia)</t>
  </si>
  <si>
    <t>CONTROL — BC-5D</t>
  </si>
  <si>
    <t>BC 5380/BC 5000</t>
  </si>
  <si>
    <t>BC-5D CONTROL</t>
  </si>
  <si>
    <t>6x3ml (2L, 2N, 2H)</t>
  </si>
  <si>
    <t>Base 04/2026 (6x3 mL: 2 bajo/2 normal/2 alto)</t>
  </si>
  <si>
    <t>SUBTOTAL CONTROL (USD)</t>
  </si>
  <si>
    <t>CALIBRADOR — SC-CAL</t>
  </si>
  <si>
    <t>Calibrador SC-CAL (PLUS)</t>
  </si>
  <si>
    <t>Cotizar (no figura en archivo de costos)</t>
  </si>
  <si>
    <t>SUBTOTAL CALIBRADOR (USD)</t>
  </si>
  <si>
    <t>CONSUMIBLES / OPERACIÓN — limpieza diaria (jabones/lisantes de limpieza)</t>
  </si>
  <si>
    <t>RINSE MINDRAY (limpiador de sonda)</t>
  </si>
  <si>
    <t>20 L</t>
  </si>
  <si>
    <t>Limpieza diaria (base 04/2026)</t>
  </si>
  <si>
    <t>Lisante / limpiador genérico Mindray</t>
  </si>
  <si>
    <t>500 mL</t>
  </si>
  <si>
    <t>Limpieza</t>
  </si>
  <si>
    <t>Limpiador concentrado de sonda (M-58/DM-58)</t>
  </si>
  <si>
    <t>frasco</t>
  </si>
  <si>
    <t>TOTAL HEMATOLOGÍA (USD)</t>
  </si>
  <si>
    <t>EQUIPO</t>
  </si>
  <si>
    <t>BS-230i</t>
  </si>
  <si>
    <t>Fco X Caja</t>
  </si>
  <si>
    <t>Ml X Fco</t>
  </si>
  <si>
    <t>Apiica</t>
  </si>
  <si>
    <t>Ml X Caja</t>
  </si>
  <si>
    <t>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</si>
</sst>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6" formatCode="\$#,##0.00;[Red]&quot;($&quot;#,##0.00\);\-"/>
  </numFmts>
  <fonts count="26">
    <font>
      <sz val="11"/>
      <color theme="1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8"/>
      <color rgb="FFFFD9B8"/>
      <name val="Calibri"/>
      <family val="2"/>
      <charset val="1"/>
    </font>
    <font>
      <b/>
      <sz val="15"/>
      <color rgb="FFFFFFFF"/>
      <name val="Calibri"/>
      <family val="2"/>
      <charset val="1"/>
    </font>
    <font>
      <sz val="9"/>
      <color rgb="FFFFFFFF"/>
      <name val="Calibri"/>
      <family val="2"/>
      <charset val="1"/>
    </font>
    <font>
      <b/>
      <sz val="10"/>
      <color rgb="FF1F3864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9"/>
      <color rgb="FF000000"/>
      <name val="Calibri"/>
      <family val="2"/>
      <charset val="1"/>
    </font>
    <font>
      <b/>
      <sz val="10"/>
      <color rgb="FF0000FF"/>
      <name val="Calibri"/>
      <family val="2"/>
      <charset val="1"/>
    </font>
    <font>
      <sz val="9"/>
      <color rgb="FF595959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8"/>
      <color rgb="FF000000"/>
      <name val="Calibri"/>
      <family val="2"/>
      <charset val="1"/>
    </font>
    <font>
      <sz val="9"/>
      <color rgb="FF0000FF"/>
      <name val="Calibri"/>
      <family val="2"/>
      <charset val="1"/>
    </font>
    <font>
      <sz val="8"/>
      <color rgb="FF1F4E79"/>
      <name val="Calibri"/>
      <family val="2"/>
      <charset val="1"/>
    </font>
    <font>
      <sz val="9"/>
      <color rgb="FF000000"/>
      <name val="Noto Sans CJK SC"/>
      <family val="2"/>
    </font>
    <font>
      <b/>
      <sz val="10"/>
      <color rgb="FF000000"/>
      <name val="Calibri"/>
      <family val="2"/>
      <charset val="1"/>
    </font>
    <font>
      <sz val="8"/>
      <color rgb="FF595959"/>
      <name val="Calibri"/>
      <family val="2"/>
      <charset val="1"/>
    </font>
    <font>
      <sz val="8"/>
      <color rgb="FF996600"/>
      <name val="Calibri"/>
      <family val="2"/>
      <charset val="1"/>
    </font>
    <font>
      <sz val="8"/>
      <color rgb="FF595959"/>
      <name val="Noto Sans CJK SC"/>
      <family val="2"/>
    </font>
    <font>
      <b/>
      <sz val="8"/>
      <color rgb="FF595959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0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496"/>
        <bgColor rgb="FF1F4E79"/>
      </patternFill>
    </fill>
    <fill>
      <patternFill patternType="solid">
        <fgColor rgb="FFE8761B"/>
        <bgColor rgb="FFFF990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theme="6" tint="0.39997558519241921"/>
        <bgColor rgb="FF1F4E79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23" fillId="0" borderId="0">
      <alignment vertical="center"/>
    </xf>
  </cellStyleXfs>
  <cellXfs count="70">
    <xf numFmtId="0" fontId="0" fillId="0" borderId="0" xfId="0"/>
    <xf numFmtId="0" fontId="5" fillId="0" borderId="0" xfId="0" applyFont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5" fillId="0" borderId="1" xfId="0" applyFont="1" applyBorder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164" fontId="9" fillId="5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12" fillId="0" borderId="1" xfId="0" applyFont="1" applyBorder="1"/>
    <xf numFmtId="0" fontId="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166" fontId="13" fillId="5" borderId="1" xfId="0" applyNumberFormat="1" applyFont="1" applyFill="1" applyBorder="1"/>
    <xf numFmtId="166" fontId="8" fillId="6" borderId="1" xfId="0" applyNumberFormat="1" applyFont="1" applyFill="1" applyBorder="1"/>
    <xf numFmtId="0" fontId="14" fillId="0" borderId="1" xfId="0" applyFont="1" applyBorder="1" applyAlignment="1">
      <alignment horizontal="left" vertical="center" wrapText="1"/>
    </xf>
    <xf numFmtId="0" fontId="0" fillId="0" borderId="1" xfId="0" applyBorder="1"/>
    <xf numFmtId="166" fontId="11" fillId="3" borderId="1" xfId="0" applyNumberFormat="1" applyFont="1" applyFill="1" applyBorder="1"/>
    <xf numFmtId="3" fontId="16" fillId="6" borderId="1" xfId="0" applyNumberFormat="1" applyFont="1" applyFill="1" applyBorder="1"/>
    <xf numFmtId="3" fontId="9" fillId="7" borderId="1" xfId="0" applyNumberFormat="1" applyFont="1" applyFill="1" applyBorder="1"/>
    <xf numFmtId="0" fontId="17" fillId="0" borderId="1" xfId="0" applyFont="1" applyBorder="1" applyAlignment="1">
      <alignment horizontal="left" vertical="center" wrapText="1"/>
    </xf>
    <xf numFmtId="166" fontId="7" fillId="2" borderId="1" xfId="0" applyNumberFormat="1" applyFont="1" applyFill="1" applyBorder="1"/>
    <xf numFmtId="0" fontId="0" fillId="2" borderId="1" xfId="0" applyFill="1" applyBorder="1"/>
    <xf numFmtId="0" fontId="18" fillId="0" borderId="1" xfId="0" applyFont="1" applyBorder="1"/>
    <xf numFmtId="0" fontId="8" fillId="9" borderId="1" xfId="0" applyFont="1" applyFill="1" applyBorder="1"/>
    <xf numFmtId="0" fontId="12" fillId="9" borderId="1" xfId="0" applyFont="1" applyFill="1" applyBorder="1"/>
    <xf numFmtId="0" fontId="8" fillId="9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14" fillId="9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left" vertical="center" wrapText="1"/>
    </xf>
    <xf numFmtId="3" fontId="13" fillId="5" borderId="1" xfId="0" applyNumberFormat="1" applyFont="1" applyFill="1" applyBorder="1"/>
    <xf numFmtId="0" fontId="17" fillId="0" borderId="1" xfId="0" applyFont="1" applyBorder="1"/>
    <xf numFmtId="3" fontId="21" fillId="8" borderId="1" xfId="0" applyNumberFormat="1" applyFont="1" applyFill="1" applyBorder="1"/>
    <xf numFmtId="0" fontId="2" fillId="2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center"/>
    </xf>
    <xf numFmtId="0" fontId="7" fillId="2" borderId="0" xfId="0" applyFont="1" applyFill="1"/>
    <xf numFmtId="0" fontId="6" fillId="0" borderId="0" xfId="0" applyFont="1" applyAlignment="1">
      <alignment horizontal="left" vertical="top" wrapText="1"/>
    </xf>
    <xf numFmtId="0" fontId="7" fillId="4" borderId="0" xfId="0" applyFont="1" applyFill="1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11" fillId="3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20" fillId="0" borderId="0" xfId="0" applyFont="1"/>
    <xf numFmtId="166" fontId="22" fillId="0" borderId="1" xfId="0" applyNumberFormat="1" applyFont="1" applyFill="1" applyBorder="1"/>
    <xf numFmtId="0" fontId="24" fillId="0" borderId="0" xfId="0" applyFont="1" applyFill="1"/>
    <xf numFmtId="0" fontId="11" fillId="10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12" fillId="0" borderId="3" xfId="0" applyFont="1" applyBorder="1"/>
    <xf numFmtId="0" fontId="0" fillId="0" borderId="0" xfId="0" applyBorder="1"/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3" fontId="11" fillId="10" borderId="1" xfId="0" applyNumberFormat="1" applyFont="1" applyFill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</cellXfs>
  <cellStyles count="2">
    <cellStyle name="Normal" xfId="0" builtinId="0"/>
    <cellStyle name="常规 2 3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5B3D7"/>
      <rgbColor rgb="FFFFC7CE"/>
      <rgbColor rgb="FFD9E1F2"/>
      <rgbColor rgb="FFFFD9B8"/>
      <rgbColor rgb="FF3366FF"/>
      <rgbColor rgb="FF33CCCC"/>
      <rgbColor rgb="FF99CC00"/>
      <rgbColor rgb="FFFFCC00"/>
      <rgbColor rgb="FFFF9900"/>
      <rgbColor rgb="FFE8761B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180" zoomScaleNormal="180" workbookViewId="0">
      <selection activeCell="A6" sqref="A6"/>
    </sheetView>
  </sheetViews>
  <sheetFormatPr baseColWidth="10" defaultColWidth="8.7109375" defaultRowHeight="15"/>
  <cols>
    <col min="1" max="1" width="4" customWidth="1"/>
    <col min="2" max="2" width="18" customWidth="1"/>
    <col min="3" max="8" width="92" customWidth="1"/>
  </cols>
  <sheetData>
    <row r="1" spans="1:8" ht="21.75" customHeight="1">
      <c r="A1" s="42" t="s">
        <v>0</v>
      </c>
      <c r="B1" s="42"/>
      <c r="C1" s="42"/>
      <c r="D1" s="42"/>
      <c r="E1" s="42"/>
      <c r="F1" s="42"/>
      <c r="G1" s="43" t="s">
        <v>1</v>
      </c>
      <c r="H1" s="43"/>
    </row>
    <row r="2" spans="1:8" ht="25.5" customHeight="1">
      <c r="A2" s="44" t="s">
        <v>2</v>
      </c>
      <c r="B2" s="44"/>
      <c r="C2" s="44"/>
      <c r="D2" s="44"/>
      <c r="E2" s="44"/>
      <c r="F2" s="44"/>
      <c r="G2" s="44"/>
      <c r="H2" s="44"/>
    </row>
    <row r="3" spans="1:8" ht="15.75" customHeight="1">
      <c r="A3" s="45" t="s">
        <v>3</v>
      </c>
      <c r="B3" s="45"/>
      <c r="C3" s="45"/>
      <c r="D3" s="45"/>
      <c r="E3" s="45"/>
      <c r="F3" s="45"/>
      <c r="G3" s="45"/>
      <c r="H3" s="45"/>
    </row>
    <row r="5" spans="1:8" ht="63.75" customHeight="1">
      <c r="B5" s="1" t="s">
        <v>4</v>
      </c>
      <c r="C5" s="40" t="s">
        <v>5</v>
      </c>
      <c r="D5" s="40"/>
      <c r="E5" s="40"/>
      <c r="F5" s="40"/>
      <c r="G5" s="40"/>
      <c r="H5" s="40"/>
    </row>
    <row r="6" spans="1:8" ht="93.75" customHeight="1">
      <c r="B6" s="1" t="s">
        <v>6</v>
      </c>
      <c r="C6" s="40" t="s">
        <v>7</v>
      </c>
      <c r="D6" s="40"/>
      <c r="E6" s="40"/>
      <c r="F6" s="40"/>
      <c r="G6" s="40"/>
      <c r="H6" s="40"/>
    </row>
    <row r="7" spans="1:8" ht="63.75" customHeight="1">
      <c r="B7" s="1" t="s">
        <v>8</v>
      </c>
      <c r="C7" s="40" t="s">
        <v>9</v>
      </c>
      <c r="D7" s="40"/>
      <c r="E7" s="40"/>
      <c r="F7" s="40"/>
      <c r="G7" s="40"/>
      <c r="H7" s="40"/>
    </row>
    <row r="8" spans="1:8" ht="63.75" customHeight="1">
      <c r="B8" s="1" t="s">
        <v>10</v>
      </c>
      <c r="C8" s="40" t="s">
        <v>11</v>
      </c>
      <c r="D8" s="40"/>
      <c r="E8" s="40"/>
      <c r="F8" s="40"/>
      <c r="G8" s="40"/>
      <c r="H8" s="40"/>
    </row>
    <row r="10" spans="1:8" ht="15" customHeight="1">
      <c r="B10" s="41" t="s">
        <v>12</v>
      </c>
      <c r="C10" s="41"/>
      <c r="D10" s="41"/>
      <c r="E10" s="41"/>
      <c r="F10" s="41"/>
      <c r="G10" s="41"/>
      <c r="H10" s="41"/>
    </row>
    <row r="11" spans="1:8" ht="15" customHeight="1">
      <c r="B11" s="2" t="s">
        <v>13</v>
      </c>
      <c r="C11" s="38" t="s">
        <v>14</v>
      </c>
      <c r="D11" s="38"/>
      <c r="E11" s="38"/>
      <c r="F11" s="38"/>
      <c r="G11" s="38"/>
      <c r="H11" s="38"/>
    </row>
    <row r="12" spans="1:8" ht="15" customHeight="1">
      <c r="B12" s="3" t="s">
        <v>13</v>
      </c>
      <c r="C12" s="38" t="s">
        <v>15</v>
      </c>
      <c r="D12" s="38"/>
      <c r="E12" s="38"/>
      <c r="F12" s="38"/>
      <c r="G12" s="38"/>
      <c r="H12" s="38"/>
    </row>
    <row r="13" spans="1:8" ht="15" customHeight="1">
      <c r="B13" s="4" t="s">
        <v>13</v>
      </c>
      <c r="C13" s="38" t="s">
        <v>16</v>
      </c>
      <c r="D13" s="38"/>
      <c r="E13" s="38"/>
      <c r="F13" s="38"/>
      <c r="G13" s="38"/>
      <c r="H13" s="38"/>
    </row>
    <row r="14" spans="1:8" ht="15" customHeight="1">
      <c r="B14" s="5" t="s">
        <v>13</v>
      </c>
      <c r="C14" s="38" t="s">
        <v>17</v>
      </c>
      <c r="D14" s="38"/>
      <c r="E14" s="38"/>
      <c r="F14" s="38"/>
      <c r="G14" s="38"/>
      <c r="H14" s="38"/>
    </row>
    <row r="16" spans="1:8" ht="15" customHeight="1">
      <c r="B16" s="39" t="s">
        <v>18</v>
      </c>
      <c r="C16" s="39"/>
      <c r="D16" s="39"/>
      <c r="E16" s="39"/>
      <c r="F16" s="39"/>
      <c r="G16" s="39"/>
      <c r="H16" s="39"/>
    </row>
    <row r="17" spans="2:8" ht="39.75" customHeight="1">
      <c r="B17" s="37" t="s">
        <v>19</v>
      </c>
      <c r="C17" s="37"/>
      <c r="D17" s="37"/>
      <c r="E17" s="37"/>
      <c r="F17" s="37"/>
      <c r="G17" s="37"/>
      <c r="H17" s="37"/>
    </row>
    <row r="18" spans="2:8" ht="39.75" customHeight="1">
      <c r="B18" s="37" t="s">
        <v>20</v>
      </c>
      <c r="C18" s="37"/>
      <c r="D18" s="37"/>
      <c r="E18" s="37"/>
      <c r="F18" s="37"/>
      <c r="G18" s="37"/>
      <c r="H18" s="37"/>
    </row>
    <row r="19" spans="2:8" ht="39.75" customHeight="1">
      <c r="B19" s="37" t="s">
        <v>21</v>
      </c>
      <c r="C19" s="37"/>
      <c r="D19" s="37"/>
      <c r="E19" s="37"/>
      <c r="F19" s="37"/>
      <c r="G19" s="37"/>
      <c r="H19" s="37"/>
    </row>
    <row r="20" spans="2:8" ht="39.75" customHeight="1">
      <c r="B20" s="37" t="s">
        <v>22</v>
      </c>
      <c r="C20" s="37"/>
      <c r="D20" s="37"/>
      <c r="E20" s="37"/>
      <c r="F20" s="37"/>
      <c r="G20" s="37"/>
      <c r="H20" s="37"/>
    </row>
    <row r="21" spans="2:8" ht="39.75" customHeight="1">
      <c r="B21" s="37" t="s">
        <v>23</v>
      </c>
      <c r="C21" s="37"/>
      <c r="D21" s="37"/>
      <c r="E21" s="37"/>
      <c r="F21" s="37"/>
      <c r="G21" s="37"/>
      <c r="H21" s="37"/>
    </row>
  </sheetData>
  <mergeCells count="19">
    <mergeCell ref="A1:F1"/>
    <mergeCell ref="G1:H1"/>
    <mergeCell ref="A2:H2"/>
    <mergeCell ref="A3:H3"/>
    <mergeCell ref="C5:H5"/>
    <mergeCell ref="C6:H6"/>
    <mergeCell ref="C7:H7"/>
    <mergeCell ref="C8:H8"/>
    <mergeCell ref="B10:H10"/>
    <mergeCell ref="C11:H11"/>
    <mergeCell ref="B18:H18"/>
    <mergeCell ref="B19:H19"/>
    <mergeCell ref="B20:H20"/>
    <mergeCell ref="B21:H21"/>
    <mergeCell ref="C12:H12"/>
    <mergeCell ref="C13:H13"/>
    <mergeCell ref="C14:H14"/>
    <mergeCell ref="B16:H16"/>
    <mergeCell ref="B17:H17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showGridLines="0" zoomScaleNormal="100" workbookViewId="0">
      <selection activeCell="B7" sqref="B7"/>
    </sheetView>
  </sheetViews>
  <sheetFormatPr baseColWidth="10" defaultColWidth="8.7109375" defaultRowHeight="15"/>
  <cols>
    <col min="1" max="1" width="42" customWidth="1"/>
    <col min="2" max="2" width="16" customWidth="1"/>
    <col min="3" max="3" width="4" customWidth="1"/>
    <col min="4" max="4" width="34" customWidth="1"/>
  </cols>
  <sheetData>
    <row r="1" spans="1:4" ht="21.75" customHeight="1">
      <c r="A1" s="42" t="s">
        <v>0</v>
      </c>
      <c r="B1" s="42"/>
      <c r="C1" s="43" t="s">
        <v>1</v>
      </c>
      <c r="D1" s="43"/>
    </row>
    <row r="2" spans="1:4" ht="25.5" customHeight="1">
      <c r="A2" s="44" t="s">
        <v>24</v>
      </c>
      <c r="B2" s="44"/>
      <c r="C2" s="44"/>
      <c r="D2" s="44"/>
    </row>
    <row r="3" spans="1:4" ht="15.75" customHeight="1">
      <c r="A3" s="45" t="s">
        <v>25</v>
      </c>
      <c r="B3" s="45"/>
      <c r="C3" s="45"/>
      <c r="D3" s="45"/>
    </row>
    <row r="5" spans="1:4" ht="19.5" customHeight="1">
      <c r="A5" s="46" t="s">
        <v>26</v>
      </c>
      <c r="B5" s="46"/>
      <c r="C5" s="46"/>
      <c r="D5" s="46"/>
    </row>
    <row r="6" spans="1:4" ht="24" customHeight="1">
      <c r="A6" s="6" t="s">
        <v>27</v>
      </c>
      <c r="B6" s="7">
        <v>800</v>
      </c>
      <c r="D6" s="8" t="s">
        <v>28</v>
      </c>
    </row>
    <row r="7" spans="1:4" ht="22.5" customHeight="1">
      <c r="A7" s="6" t="s">
        <v>29</v>
      </c>
      <c r="B7" s="7">
        <v>800</v>
      </c>
      <c r="D7" s="8" t="s">
        <v>30</v>
      </c>
    </row>
    <row r="8" spans="1:4" ht="27" customHeight="1">
      <c r="A8" s="6" t="s">
        <v>31</v>
      </c>
      <c r="B8" s="7">
        <v>20</v>
      </c>
      <c r="D8" s="8" t="s">
        <v>32</v>
      </c>
    </row>
    <row r="9" spans="1:4" ht="15" customHeight="1">
      <c r="A9" s="6" t="s">
        <v>33</v>
      </c>
      <c r="B9" s="7">
        <v>12</v>
      </c>
      <c r="D9" s="8" t="s">
        <v>34</v>
      </c>
    </row>
    <row r="10" spans="1:4" ht="15" customHeight="1">
      <c r="A10" s="6" t="s">
        <v>35</v>
      </c>
      <c r="B10" s="7">
        <v>10</v>
      </c>
      <c r="D10" s="8"/>
    </row>
    <row r="11" spans="1:4" ht="15" customHeight="1">
      <c r="A11" s="6" t="s">
        <v>36</v>
      </c>
      <c r="B11" s="7">
        <v>20</v>
      </c>
      <c r="D11" s="8"/>
    </row>
    <row r="13" spans="1:4" ht="19.5" customHeight="1">
      <c r="A13" s="46" t="s">
        <v>37</v>
      </c>
      <c r="B13" s="46"/>
      <c r="C13" s="46"/>
      <c r="D13" s="46"/>
    </row>
    <row r="14" spans="1:4" ht="15" customHeight="1">
      <c r="A14" s="6" t="s">
        <v>38</v>
      </c>
      <c r="B14" s="7" t="s">
        <v>39</v>
      </c>
      <c r="D14" s="8"/>
    </row>
    <row r="15" spans="1:4" ht="15" customHeight="1">
      <c r="A15" s="6" t="s">
        <v>40</v>
      </c>
      <c r="B15" s="9">
        <v>0</v>
      </c>
      <c r="D15" s="8" t="s">
        <v>41</v>
      </c>
    </row>
    <row r="16" spans="1:4" ht="15" customHeight="1">
      <c r="A16" s="6" t="s">
        <v>42</v>
      </c>
      <c r="B16" s="7" t="s">
        <v>43</v>
      </c>
      <c r="D16" s="8" t="s">
        <v>44</v>
      </c>
    </row>
    <row r="18" spans="1:4" ht="19.5" customHeight="1">
      <c r="A18" s="46" t="s">
        <v>45</v>
      </c>
      <c r="B18" s="46"/>
      <c r="C18" s="46"/>
      <c r="D18" s="46"/>
    </row>
    <row r="19" spans="1:4" ht="15" customHeight="1">
      <c r="A19" s="6" t="s">
        <v>46</v>
      </c>
      <c r="B19" s="7" t="s">
        <v>47</v>
      </c>
      <c r="D19" s="8"/>
    </row>
    <row r="20" spans="1:4" ht="15" customHeight="1">
      <c r="A20" s="6" t="s">
        <v>48</v>
      </c>
      <c r="B20" s="7" t="s">
        <v>49</v>
      </c>
      <c r="D20" s="8"/>
    </row>
    <row r="21" spans="1:4" ht="15" customHeight="1">
      <c r="A21" s="6" t="s">
        <v>50</v>
      </c>
      <c r="B21" s="7" t="s">
        <v>43</v>
      </c>
      <c r="D21" s="8"/>
    </row>
    <row r="22" spans="1:4" ht="15" customHeight="1">
      <c r="A22" s="6" t="s">
        <v>51</v>
      </c>
      <c r="B22" s="7" t="s">
        <v>52</v>
      </c>
      <c r="D22" s="8"/>
    </row>
  </sheetData>
  <mergeCells count="7">
    <mergeCell ref="A13:D13"/>
    <mergeCell ref="A18:D18"/>
    <mergeCell ref="A1:B1"/>
    <mergeCell ref="C1:D1"/>
    <mergeCell ref="A2:D2"/>
    <mergeCell ref="A3:D3"/>
    <mergeCell ref="A5:D5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3"/>
  <sheetViews>
    <sheetView showGridLines="0" tabSelected="1" zoomScaleNormal="100" workbookViewId="0">
      <pane xSplit="2" ySplit="1" topLeftCell="C2" activePane="bottomRight" state="frozen"/>
      <selection pane="topRight" activeCell="C1" sqref="C1"/>
      <selection pane="bottomLeft" activeCell="A114" sqref="A114"/>
      <selection pane="bottomRight" activeCell="A6" sqref="A6"/>
    </sheetView>
  </sheetViews>
  <sheetFormatPr baseColWidth="10" defaultColWidth="8.7109375" defaultRowHeight="15"/>
  <cols>
    <col min="1" max="1" width="12" customWidth="1"/>
    <col min="2" max="2" width="19.42578125" style="58" customWidth="1"/>
    <col min="3" max="3" width="30" style="58" customWidth="1"/>
    <col min="4" max="4" width="8" style="60" customWidth="1"/>
    <col min="5" max="5" width="9" customWidth="1"/>
    <col min="6" max="6" width="9" style="68" customWidth="1"/>
    <col min="7" max="7" width="16.42578125" customWidth="1"/>
    <col min="8" max="11" width="9" style="64" customWidth="1"/>
    <col min="12" max="12" width="9.85546875" style="51" customWidth="1"/>
    <col min="13" max="14" width="24" customWidth="1"/>
    <col min="15" max="15" width="34" customWidth="1"/>
  </cols>
  <sheetData>
    <row r="1" spans="1:15" ht="26.25" customHeight="1">
      <c r="A1" s="52" t="s">
        <v>53</v>
      </c>
      <c r="B1" s="56" t="s">
        <v>54</v>
      </c>
      <c r="C1" s="54" t="s">
        <v>55</v>
      </c>
      <c r="D1" s="52" t="s">
        <v>1088</v>
      </c>
      <c r="E1" s="52" t="s">
        <v>56</v>
      </c>
      <c r="F1" s="52" t="s">
        <v>1094</v>
      </c>
      <c r="G1" s="52" t="s">
        <v>57</v>
      </c>
      <c r="H1" s="61" t="s">
        <v>58</v>
      </c>
      <c r="I1" s="61" t="s">
        <v>1090</v>
      </c>
      <c r="J1" s="61" t="s">
        <v>1091</v>
      </c>
      <c r="K1" s="61" t="s">
        <v>1093</v>
      </c>
      <c r="L1" s="53" t="s">
        <v>59</v>
      </c>
      <c r="M1" s="52" t="s">
        <v>61</v>
      </c>
      <c r="N1" s="52" t="s">
        <v>62</v>
      </c>
      <c r="O1" s="52" t="s">
        <v>1092</v>
      </c>
    </row>
    <row r="2" spans="1:15" ht="19.5" customHeight="1">
      <c r="A2" s="11" t="s">
        <v>64</v>
      </c>
      <c r="B2" s="57" t="s">
        <v>65</v>
      </c>
      <c r="C2" s="55" t="s">
        <v>66</v>
      </c>
      <c r="D2" s="59" t="s">
        <v>1089</v>
      </c>
      <c r="E2" s="11" t="s">
        <v>67</v>
      </c>
      <c r="F2" s="67">
        <v>1</v>
      </c>
      <c r="G2" s="14" t="s">
        <v>68</v>
      </c>
      <c r="H2" s="62">
        <v>160</v>
      </c>
      <c r="I2" s="62">
        <v>2</v>
      </c>
      <c r="J2" s="62">
        <v>14</v>
      </c>
      <c r="K2" s="62">
        <f>SUM(I2*J2)</f>
        <v>28</v>
      </c>
      <c r="L2" s="50">
        <v>112</v>
      </c>
      <c r="M2" s="17" t="s">
        <v>69</v>
      </c>
      <c r="N2" s="17" t="s">
        <v>64</v>
      </c>
      <c r="O2" s="18"/>
    </row>
    <row r="3" spans="1:15" ht="26.25" customHeight="1">
      <c r="A3" s="11" t="s">
        <v>70</v>
      </c>
      <c r="B3" s="57" t="s">
        <v>71</v>
      </c>
      <c r="C3" s="55" t="s">
        <v>72</v>
      </c>
      <c r="D3" s="59" t="s">
        <v>1089</v>
      </c>
      <c r="E3" s="11" t="s">
        <v>67</v>
      </c>
      <c r="F3" s="67">
        <v>1</v>
      </c>
      <c r="G3" s="14" t="s">
        <v>73</v>
      </c>
      <c r="H3" s="62">
        <v>272</v>
      </c>
      <c r="I3" s="62">
        <v>1</v>
      </c>
      <c r="J3" s="62">
        <v>60</v>
      </c>
      <c r="K3" s="62">
        <f t="shared" ref="K3:K66" si="0">SUM(I3*J3)</f>
        <v>60</v>
      </c>
      <c r="L3" s="50">
        <v>190</v>
      </c>
      <c r="M3" s="17" t="s">
        <v>74</v>
      </c>
      <c r="N3" s="17" t="s">
        <v>70</v>
      </c>
      <c r="O3" s="18"/>
    </row>
    <row r="4" spans="1:15" ht="21.75" customHeight="1">
      <c r="A4" s="11" t="s">
        <v>75</v>
      </c>
      <c r="B4" s="57" t="s">
        <v>76</v>
      </c>
      <c r="C4" s="55" t="s">
        <v>77</v>
      </c>
      <c r="D4" s="59" t="s">
        <v>1089</v>
      </c>
      <c r="E4" s="11" t="s">
        <v>67</v>
      </c>
      <c r="F4" s="67">
        <v>1</v>
      </c>
      <c r="G4" s="14" t="s">
        <v>78</v>
      </c>
      <c r="H4" s="62">
        <v>728</v>
      </c>
      <c r="I4" s="62">
        <v>4</v>
      </c>
      <c r="J4" s="62">
        <v>40</v>
      </c>
      <c r="K4" s="62">
        <f t="shared" si="0"/>
        <v>160</v>
      </c>
      <c r="L4" s="50">
        <v>12.5</v>
      </c>
      <c r="M4" s="17" t="s">
        <v>79</v>
      </c>
      <c r="N4" s="17" t="s">
        <v>80</v>
      </c>
      <c r="O4" s="18"/>
    </row>
    <row r="5" spans="1:15" ht="33.75" customHeight="1">
      <c r="A5" s="11" t="s">
        <v>81</v>
      </c>
      <c r="B5" s="57" t="s">
        <v>82</v>
      </c>
      <c r="C5" s="55" t="s">
        <v>83</v>
      </c>
      <c r="D5" s="59" t="s">
        <v>1089</v>
      </c>
      <c r="E5" s="11" t="s">
        <v>67</v>
      </c>
      <c r="F5" s="67">
        <v>1</v>
      </c>
      <c r="G5" s="14" t="s">
        <v>84</v>
      </c>
      <c r="H5" s="62">
        <v>942</v>
      </c>
      <c r="I5" s="62">
        <v>2</v>
      </c>
      <c r="J5" s="62">
        <f>((4*35)/2)+18</f>
        <v>88</v>
      </c>
      <c r="K5" s="62">
        <f t="shared" si="0"/>
        <v>176</v>
      </c>
      <c r="L5" s="50">
        <v>16.5</v>
      </c>
      <c r="M5" s="17" t="s">
        <v>79</v>
      </c>
      <c r="N5" s="17" t="s">
        <v>80</v>
      </c>
      <c r="O5" s="18"/>
    </row>
    <row r="6" spans="1:15" ht="26.25" customHeight="1">
      <c r="A6" s="11" t="s">
        <v>85</v>
      </c>
      <c r="B6" s="57" t="s">
        <v>86</v>
      </c>
      <c r="C6" s="55" t="s">
        <v>87</v>
      </c>
      <c r="D6" s="59" t="s">
        <v>1089</v>
      </c>
      <c r="E6" s="11" t="s">
        <v>67</v>
      </c>
      <c r="F6" s="67">
        <v>1</v>
      </c>
      <c r="G6" s="14" t="s">
        <v>84</v>
      </c>
      <c r="H6" s="62">
        <v>942</v>
      </c>
      <c r="I6" s="62">
        <v>2</v>
      </c>
      <c r="J6" s="62">
        <f>((4*35)/2)+18</f>
        <v>88</v>
      </c>
      <c r="K6" s="62">
        <f t="shared" si="0"/>
        <v>176</v>
      </c>
      <c r="L6" s="50">
        <v>23</v>
      </c>
      <c r="M6" s="17" t="s">
        <v>79</v>
      </c>
      <c r="N6" s="17" t="s">
        <v>80</v>
      </c>
      <c r="O6" s="18"/>
    </row>
    <row r="7" spans="1:15" ht="28.5" customHeight="1">
      <c r="A7" s="11" t="s">
        <v>88</v>
      </c>
      <c r="B7" s="57" t="s">
        <v>89</v>
      </c>
      <c r="C7" s="55" t="s">
        <v>90</v>
      </c>
      <c r="D7" s="59" t="s">
        <v>1089</v>
      </c>
      <c r="E7" s="11" t="s">
        <v>67</v>
      </c>
      <c r="F7" s="67">
        <v>1</v>
      </c>
      <c r="G7" s="14" t="s">
        <v>91</v>
      </c>
      <c r="H7" s="62">
        <v>242</v>
      </c>
      <c r="I7" s="62">
        <v>1</v>
      </c>
      <c r="J7" s="62">
        <v>48</v>
      </c>
      <c r="K7" s="62">
        <f t="shared" si="0"/>
        <v>48</v>
      </c>
      <c r="L7" s="50">
        <v>39.5</v>
      </c>
      <c r="M7" s="17" t="s">
        <v>79</v>
      </c>
      <c r="N7" s="17" t="s">
        <v>80</v>
      </c>
      <c r="O7" s="18"/>
    </row>
    <row r="8" spans="1:15" ht="23.25" customHeight="1">
      <c r="A8" s="11" t="s">
        <v>92</v>
      </c>
      <c r="B8" s="57" t="s">
        <v>93</v>
      </c>
      <c r="C8" s="55" t="s">
        <v>94</v>
      </c>
      <c r="D8" s="59" t="s">
        <v>1089</v>
      </c>
      <c r="E8" s="11" t="s">
        <v>67</v>
      </c>
      <c r="F8" s="67">
        <v>1</v>
      </c>
      <c r="G8" s="14" t="s">
        <v>95</v>
      </c>
      <c r="H8" s="62">
        <v>145</v>
      </c>
      <c r="I8" s="62">
        <v>1</v>
      </c>
      <c r="J8" s="62">
        <f>35+12</f>
        <v>47</v>
      </c>
      <c r="K8" s="62">
        <f t="shared" si="0"/>
        <v>47</v>
      </c>
      <c r="L8" s="50">
        <v>65</v>
      </c>
      <c r="M8" s="17" t="s">
        <v>96</v>
      </c>
      <c r="N8" s="17" t="s">
        <v>80</v>
      </c>
      <c r="O8" s="18"/>
    </row>
    <row r="9" spans="1:15" ht="17.25" customHeight="1">
      <c r="A9" s="11" t="s">
        <v>97</v>
      </c>
      <c r="B9" s="57" t="s">
        <v>98</v>
      </c>
      <c r="C9" s="55" t="s">
        <v>99</v>
      </c>
      <c r="D9" s="59" t="s">
        <v>1089</v>
      </c>
      <c r="E9" s="11" t="s">
        <v>67</v>
      </c>
      <c r="F9" s="67">
        <v>1</v>
      </c>
      <c r="G9" s="14" t="s">
        <v>95</v>
      </c>
      <c r="H9" s="62">
        <v>145</v>
      </c>
      <c r="I9" s="62">
        <v>1</v>
      </c>
      <c r="J9" s="62">
        <f>35+12</f>
        <v>47</v>
      </c>
      <c r="K9" s="62">
        <f t="shared" si="0"/>
        <v>47</v>
      </c>
      <c r="L9" s="50">
        <v>65</v>
      </c>
      <c r="M9" s="17" t="s">
        <v>96</v>
      </c>
      <c r="N9" s="17" t="s">
        <v>80</v>
      </c>
      <c r="O9" s="18"/>
    </row>
    <row r="10" spans="1:15" ht="17.25" customHeight="1">
      <c r="A10" s="11" t="s">
        <v>100</v>
      </c>
      <c r="B10" s="57" t="s">
        <v>101</v>
      </c>
      <c r="C10" s="55" t="s">
        <v>102</v>
      </c>
      <c r="D10" s="59" t="s">
        <v>1089</v>
      </c>
      <c r="E10" s="11" t="s">
        <v>67</v>
      </c>
      <c r="F10" s="67">
        <v>1</v>
      </c>
      <c r="G10" s="14" t="s">
        <v>103</v>
      </c>
      <c r="H10" s="62">
        <v>241</v>
      </c>
      <c r="I10" s="62">
        <v>1</v>
      </c>
      <c r="J10" s="62">
        <f>40+40</f>
        <v>80</v>
      </c>
      <c r="K10" s="62">
        <f t="shared" si="0"/>
        <v>80</v>
      </c>
      <c r="L10" s="50">
        <v>195</v>
      </c>
      <c r="M10" s="17" t="s">
        <v>104</v>
      </c>
      <c r="N10" s="17" t="s">
        <v>105</v>
      </c>
      <c r="O10" s="18"/>
    </row>
    <row r="11" spans="1:15" ht="17.25" customHeight="1">
      <c r="A11" s="11" t="s">
        <v>106</v>
      </c>
      <c r="B11" s="57" t="s">
        <v>107</v>
      </c>
      <c r="C11" s="55" t="s">
        <v>108</v>
      </c>
      <c r="D11" s="59" t="s">
        <v>1089</v>
      </c>
      <c r="E11" s="11" t="s">
        <v>67</v>
      </c>
      <c r="F11" s="67">
        <v>1</v>
      </c>
      <c r="G11" s="14" t="s">
        <v>84</v>
      </c>
      <c r="H11" s="62">
        <v>942</v>
      </c>
      <c r="I11" s="62">
        <v>2</v>
      </c>
      <c r="J11" s="62">
        <f>((4*35)/2)+18</f>
        <v>88</v>
      </c>
      <c r="K11" s="62">
        <f t="shared" si="0"/>
        <v>176</v>
      </c>
      <c r="L11" s="50">
        <v>23</v>
      </c>
      <c r="M11" s="17" t="s">
        <v>79</v>
      </c>
      <c r="N11" s="17" t="s">
        <v>80</v>
      </c>
      <c r="O11" s="18"/>
    </row>
    <row r="12" spans="1:15" ht="17.25" customHeight="1">
      <c r="A12" s="11" t="s">
        <v>109</v>
      </c>
      <c r="B12" s="57" t="s">
        <v>110</v>
      </c>
      <c r="C12" s="55" t="s">
        <v>111</v>
      </c>
      <c r="D12" s="59" t="s">
        <v>1089</v>
      </c>
      <c r="E12" s="11" t="s">
        <v>67</v>
      </c>
      <c r="F12" s="67">
        <v>1</v>
      </c>
      <c r="G12" s="14" t="s">
        <v>112</v>
      </c>
      <c r="H12" s="62">
        <v>227</v>
      </c>
      <c r="I12" s="62">
        <v>1</v>
      </c>
      <c r="J12" s="62">
        <f>40+12</f>
        <v>52</v>
      </c>
      <c r="K12" s="62">
        <f t="shared" si="0"/>
        <v>52</v>
      </c>
      <c r="L12" s="50">
        <v>350</v>
      </c>
      <c r="M12" s="17" t="s">
        <v>79</v>
      </c>
      <c r="N12" s="17" t="s">
        <v>80</v>
      </c>
      <c r="O12" s="18"/>
    </row>
    <row r="13" spans="1:15" ht="15" customHeight="1">
      <c r="A13" s="11" t="s">
        <v>113</v>
      </c>
      <c r="B13" s="57" t="s">
        <v>114</v>
      </c>
      <c r="C13" s="55" t="s">
        <v>115</v>
      </c>
      <c r="D13" s="59" t="s">
        <v>1089</v>
      </c>
      <c r="E13" s="11" t="s">
        <v>67</v>
      </c>
      <c r="F13" s="67">
        <v>1</v>
      </c>
      <c r="G13" s="14" t="s">
        <v>116</v>
      </c>
      <c r="H13" s="62">
        <v>220</v>
      </c>
      <c r="I13" s="62">
        <v>1</v>
      </c>
      <c r="J13" s="62">
        <f>36+18</f>
        <v>54</v>
      </c>
      <c r="K13" s="62">
        <f t="shared" si="0"/>
        <v>54</v>
      </c>
      <c r="L13" s="50">
        <v>55</v>
      </c>
      <c r="M13" s="17" t="s">
        <v>117</v>
      </c>
      <c r="N13" s="17" t="s">
        <v>118</v>
      </c>
      <c r="O13" s="18"/>
    </row>
    <row r="14" spans="1:15" ht="23.25" customHeight="1">
      <c r="A14" s="11" t="s">
        <v>119</v>
      </c>
      <c r="B14" s="57" t="s">
        <v>120</v>
      </c>
      <c r="C14" s="55" t="s">
        <v>121</v>
      </c>
      <c r="D14" s="59" t="s">
        <v>1089</v>
      </c>
      <c r="E14" s="11" t="s">
        <v>67</v>
      </c>
      <c r="F14" s="67">
        <v>1</v>
      </c>
      <c r="G14" s="14" t="s">
        <v>122</v>
      </c>
      <c r="H14" s="62">
        <v>207</v>
      </c>
      <c r="I14" s="62">
        <v>1</v>
      </c>
      <c r="J14" s="62">
        <f>40+15</f>
        <v>55</v>
      </c>
      <c r="K14" s="62">
        <f t="shared" si="0"/>
        <v>55</v>
      </c>
      <c r="L14" s="50">
        <v>62</v>
      </c>
      <c r="M14" s="17" t="s">
        <v>117</v>
      </c>
      <c r="N14" s="17" t="s">
        <v>118</v>
      </c>
      <c r="O14" s="18"/>
    </row>
    <row r="15" spans="1:15" ht="15" customHeight="1">
      <c r="A15" s="11" t="s">
        <v>123</v>
      </c>
      <c r="B15" s="57" t="s">
        <v>124</v>
      </c>
      <c r="C15" s="55" t="s">
        <v>125</v>
      </c>
      <c r="D15" s="59" t="s">
        <v>1089</v>
      </c>
      <c r="E15" s="11" t="s">
        <v>67</v>
      </c>
      <c r="F15" s="67">
        <v>1</v>
      </c>
      <c r="G15" s="14" t="s">
        <v>78</v>
      </c>
      <c r="H15" s="62">
        <v>728</v>
      </c>
      <c r="I15" s="62">
        <v>4</v>
      </c>
      <c r="J15" s="62">
        <v>40</v>
      </c>
      <c r="K15" s="62">
        <f t="shared" si="0"/>
        <v>160</v>
      </c>
      <c r="L15" s="50">
        <v>17</v>
      </c>
      <c r="M15" s="17" t="s">
        <v>79</v>
      </c>
      <c r="N15" s="17" t="s">
        <v>80</v>
      </c>
      <c r="O15" s="18"/>
    </row>
    <row r="16" spans="1:15" ht="36" customHeight="1">
      <c r="A16" s="11" t="s">
        <v>126</v>
      </c>
      <c r="B16" s="57" t="s">
        <v>127</v>
      </c>
      <c r="C16" s="55" t="s">
        <v>128</v>
      </c>
      <c r="D16" s="59" t="s">
        <v>1089</v>
      </c>
      <c r="E16" s="11" t="s">
        <v>67</v>
      </c>
      <c r="F16" s="67">
        <v>1</v>
      </c>
      <c r="G16" s="14" t="s">
        <v>129</v>
      </c>
      <c r="H16" s="62">
        <v>483</v>
      </c>
      <c r="I16" s="62">
        <v>1</v>
      </c>
      <c r="J16" s="62">
        <v>104</v>
      </c>
      <c r="K16" s="62">
        <f t="shared" si="0"/>
        <v>104</v>
      </c>
      <c r="L16" s="50">
        <v>122.5</v>
      </c>
      <c r="M16" s="17" t="s">
        <v>79</v>
      </c>
      <c r="N16" s="17" t="s">
        <v>80</v>
      </c>
      <c r="O16" s="18"/>
    </row>
    <row r="17" spans="1:15" ht="17.25" customHeight="1">
      <c r="A17" s="11" t="s">
        <v>130</v>
      </c>
      <c r="B17" s="57" t="s">
        <v>131</v>
      </c>
      <c r="C17" s="55" t="s">
        <v>132</v>
      </c>
      <c r="D17" s="59" t="s">
        <v>1089</v>
      </c>
      <c r="E17" s="11" t="s">
        <v>67</v>
      </c>
      <c r="F17" s="67">
        <v>1</v>
      </c>
      <c r="G17" s="14" t="s">
        <v>133</v>
      </c>
      <c r="H17" s="62">
        <v>471</v>
      </c>
      <c r="I17" s="62">
        <v>1</v>
      </c>
      <c r="J17" s="62">
        <f t="shared" ref="J17:J18" si="1">35+18</f>
        <v>53</v>
      </c>
      <c r="K17" s="62">
        <f t="shared" si="0"/>
        <v>53</v>
      </c>
      <c r="L17" s="50">
        <v>58</v>
      </c>
      <c r="M17" s="17" t="s">
        <v>79</v>
      </c>
      <c r="N17" s="17" t="s">
        <v>80</v>
      </c>
      <c r="O17" s="18"/>
    </row>
    <row r="18" spans="1:15" ht="17.25" customHeight="1">
      <c r="A18" s="11" t="s">
        <v>134</v>
      </c>
      <c r="B18" s="57" t="s">
        <v>135</v>
      </c>
      <c r="C18" s="55" t="s">
        <v>136</v>
      </c>
      <c r="D18" s="59" t="s">
        <v>1089</v>
      </c>
      <c r="E18" s="11" t="s">
        <v>67</v>
      </c>
      <c r="F18" s="67">
        <v>1</v>
      </c>
      <c r="G18" s="14" t="s">
        <v>133</v>
      </c>
      <c r="H18" s="62">
        <v>471</v>
      </c>
      <c r="I18" s="62">
        <v>1</v>
      </c>
      <c r="J18" s="62">
        <f t="shared" si="1"/>
        <v>53</v>
      </c>
      <c r="K18" s="62">
        <f t="shared" si="0"/>
        <v>53</v>
      </c>
      <c r="L18" s="50">
        <v>131</v>
      </c>
      <c r="M18" s="17" t="s">
        <v>137</v>
      </c>
      <c r="N18" s="17" t="s">
        <v>80</v>
      </c>
      <c r="O18" s="18"/>
    </row>
    <row r="19" spans="1:15" ht="28.5" customHeight="1">
      <c r="A19" s="11" t="s">
        <v>138</v>
      </c>
      <c r="B19" s="57" t="s">
        <v>139</v>
      </c>
      <c r="C19" s="55" t="s">
        <v>140</v>
      </c>
      <c r="D19" s="59" t="s">
        <v>1089</v>
      </c>
      <c r="E19" s="11" t="s">
        <v>67</v>
      </c>
      <c r="F19" s="67">
        <v>1</v>
      </c>
      <c r="G19" s="14" t="s">
        <v>141</v>
      </c>
      <c r="H19" s="62">
        <v>150</v>
      </c>
      <c r="I19" s="62">
        <v>1</v>
      </c>
      <c r="J19" s="65">
        <f>40+5+1.5</f>
        <v>46.5</v>
      </c>
      <c r="K19" s="62">
        <f t="shared" si="0"/>
        <v>46.5</v>
      </c>
      <c r="L19" s="50">
        <v>60</v>
      </c>
      <c r="M19" s="17" t="s">
        <v>79</v>
      </c>
      <c r="N19" s="17" t="s">
        <v>138</v>
      </c>
      <c r="O19" s="18"/>
    </row>
    <row r="20" spans="1:15" ht="17.25" customHeight="1">
      <c r="A20" s="11" t="s">
        <v>142</v>
      </c>
      <c r="B20" s="57" t="s">
        <v>143</v>
      </c>
      <c r="C20" s="55" t="s">
        <v>144</v>
      </c>
      <c r="D20" s="59" t="s">
        <v>1089</v>
      </c>
      <c r="E20" s="11" t="s">
        <v>67</v>
      </c>
      <c r="F20" s="67">
        <v>1</v>
      </c>
      <c r="G20" s="14" t="s">
        <v>145</v>
      </c>
      <c r="H20" s="62">
        <v>780</v>
      </c>
      <c r="I20" s="62">
        <v>3</v>
      </c>
      <c r="J20" s="62">
        <v>70</v>
      </c>
      <c r="K20" s="62">
        <f t="shared" si="0"/>
        <v>210</v>
      </c>
      <c r="L20" s="50">
        <v>16</v>
      </c>
      <c r="M20" s="17" t="s">
        <v>79</v>
      </c>
      <c r="N20" s="17" t="s">
        <v>80</v>
      </c>
      <c r="O20" s="18"/>
    </row>
    <row r="21" spans="1:15" ht="17.25" customHeight="1">
      <c r="A21" s="11" t="s">
        <v>146</v>
      </c>
      <c r="B21" s="57" t="s">
        <v>147</v>
      </c>
      <c r="C21" s="55" t="s">
        <v>148</v>
      </c>
      <c r="D21" s="59" t="s">
        <v>1089</v>
      </c>
      <c r="E21" s="11" t="s">
        <v>67</v>
      </c>
      <c r="F21" s="67">
        <v>1</v>
      </c>
      <c r="G21" s="14" t="s">
        <v>149</v>
      </c>
      <c r="H21" s="62">
        <v>188</v>
      </c>
      <c r="I21" s="62">
        <v>1</v>
      </c>
      <c r="J21" s="62">
        <v>50</v>
      </c>
      <c r="K21" s="62">
        <f t="shared" si="0"/>
        <v>50</v>
      </c>
      <c r="L21" s="50">
        <v>60.5</v>
      </c>
      <c r="M21" s="17" t="s">
        <v>150</v>
      </c>
      <c r="N21" s="17" t="s">
        <v>105</v>
      </c>
      <c r="O21" s="18"/>
    </row>
    <row r="22" spans="1:15" ht="17.25" customHeight="1">
      <c r="A22" s="11" t="s">
        <v>151</v>
      </c>
      <c r="B22" s="57" t="s">
        <v>152</v>
      </c>
      <c r="C22" s="55" t="s">
        <v>153</v>
      </c>
      <c r="D22" s="59" t="s">
        <v>1089</v>
      </c>
      <c r="E22" s="11" t="s">
        <v>67</v>
      </c>
      <c r="F22" s="67">
        <v>1</v>
      </c>
      <c r="G22" s="14" t="s">
        <v>112</v>
      </c>
      <c r="H22" s="62">
        <v>300</v>
      </c>
      <c r="I22" s="62">
        <v>1</v>
      </c>
      <c r="J22" s="62">
        <f>40+12</f>
        <v>52</v>
      </c>
      <c r="K22" s="62">
        <f t="shared" si="0"/>
        <v>52</v>
      </c>
      <c r="L22" s="50">
        <v>288</v>
      </c>
      <c r="M22" s="17" t="s">
        <v>154</v>
      </c>
      <c r="N22" s="17" t="s">
        <v>155</v>
      </c>
      <c r="O22" s="18"/>
    </row>
    <row r="23" spans="1:15" ht="17.25" customHeight="1">
      <c r="A23" s="11" t="s">
        <v>156</v>
      </c>
      <c r="B23" s="57" t="s">
        <v>157</v>
      </c>
      <c r="C23" s="55" t="s">
        <v>158</v>
      </c>
      <c r="D23" s="59" t="s">
        <v>1089</v>
      </c>
      <c r="E23" s="11" t="s">
        <v>67</v>
      </c>
      <c r="F23" s="67">
        <v>1</v>
      </c>
      <c r="G23" s="14" t="s">
        <v>159</v>
      </c>
      <c r="H23" s="62">
        <v>411</v>
      </c>
      <c r="I23" s="62">
        <v>4</v>
      </c>
      <c r="J23" s="62">
        <f>((4*40)/2)+20</f>
        <v>100</v>
      </c>
      <c r="K23" s="62">
        <f t="shared" si="0"/>
        <v>400</v>
      </c>
      <c r="L23" s="50">
        <v>13.5</v>
      </c>
      <c r="M23" s="17" t="s">
        <v>79</v>
      </c>
      <c r="N23" s="17" t="s">
        <v>80</v>
      </c>
      <c r="O23" s="18"/>
    </row>
    <row r="24" spans="1:15" ht="24" customHeight="1">
      <c r="A24" s="11" t="s">
        <v>160</v>
      </c>
      <c r="B24" s="57" t="s">
        <v>161</v>
      </c>
      <c r="C24" s="55" t="s">
        <v>162</v>
      </c>
      <c r="D24" s="59" t="s">
        <v>1089</v>
      </c>
      <c r="E24" s="11" t="s">
        <v>67</v>
      </c>
      <c r="F24" s="67">
        <v>1</v>
      </c>
      <c r="G24" s="14" t="s">
        <v>163</v>
      </c>
      <c r="H24" s="62">
        <v>104</v>
      </c>
      <c r="I24" s="62">
        <v>2</v>
      </c>
      <c r="J24" s="62">
        <f>8+4+1</f>
        <v>13</v>
      </c>
      <c r="K24" s="62">
        <f t="shared" si="0"/>
        <v>26</v>
      </c>
      <c r="L24" s="50">
        <v>174.5</v>
      </c>
      <c r="M24" s="17" t="s">
        <v>79</v>
      </c>
      <c r="N24" s="17" t="s">
        <v>80</v>
      </c>
      <c r="O24" s="18"/>
    </row>
    <row r="25" spans="1:15" ht="36" customHeight="1">
      <c r="A25" s="11" t="s">
        <v>164</v>
      </c>
      <c r="B25" s="57" t="s">
        <v>165</v>
      </c>
      <c r="C25" s="55" t="s">
        <v>166</v>
      </c>
      <c r="D25" s="59" t="s">
        <v>1089</v>
      </c>
      <c r="E25" s="11" t="s">
        <v>67</v>
      </c>
      <c r="F25" s="67">
        <v>1</v>
      </c>
      <c r="G25" s="14" t="s">
        <v>167</v>
      </c>
      <c r="H25" s="62">
        <v>483</v>
      </c>
      <c r="I25" s="62">
        <v>1</v>
      </c>
      <c r="J25" s="65">
        <f>40+16+5+1.5</f>
        <v>62.5</v>
      </c>
      <c r="K25" s="62">
        <f t="shared" si="0"/>
        <v>62.5</v>
      </c>
      <c r="L25" s="50">
        <v>51.5</v>
      </c>
      <c r="M25" s="17" t="s">
        <v>79</v>
      </c>
      <c r="N25" s="17" t="s">
        <v>80</v>
      </c>
      <c r="O25" s="18"/>
    </row>
    <row r="26" spans="1:15" ht="30" customHeight="1">
      <c r="A26" s="11" t="s">
        <v>168</v>
      </c>
      <c r="B26" s="57" t="s">
        <v>169</v>
      </c>
      <c r="C26" s="55" t="s">
        <v>170</v>
      </c>
      <c r="D26" s="59" t="s">
        <v>1089</v>
      </c>
      <c r="E26" s="11" t="s">
        <v>67</v>
      </c>
      <c r="F26" s="67">
        <v>1</v>
      </c>
      <c r="G26" s="14" t="s">
        <v>171</v>
      </c>
      <c r="H26" s="62">
        <v>260</v>
      </c>
      <c r="I26" s="62">
        <v>2</v>
      </c>
      <c r="J26" s="62">
        <f>28+10</f>
        <v>38</v>
      </c>
      <c r="K26" s="62">
        <f t="shared" si="0"/>
        <v>76</v>
      </c>
      <c r="L26" s="50">
        <v>360</v>
      </c>
      <c r="M26" s="17" t="s">
        <v>172</v>
      </c>
      <c r="N26" s="17" t="s">
        <v>80</v>
      </c>
      <c r="O26" s="18"/>
    </row>
    <row r="27" spans="1:15" ht="17.25" customHeight="1">
      <c r="A27" s="11" t="s">
        <v>173</v>
      </c>
      <c r="B27" s="57" t="s">
        <v>174</v>
      </c>
      <c r="C27" s="55" t="s">
        <v>175</v>
      </c>
      <c r="D27" s="59" t="s">
        <v>1089</v>
      </c>
      <c r="E27" s="11" t="s">
        <v>67</v>
      </c>
      <c r="F27" s="67">
        <v>1</v>
      </c>
      <c r="G27" s="14" t="s">
        <v>103</v>
      </c>
      <c r="H27" s="62">
        <v>241</v>
      </c>
      <c r="I27" s="62">
        <v>1</v>
      </c>
      <c r="J27" s="62">
        <f>40+40</f>
        <v>80</v>
      </c>
      <c r="K27" s="62">
        <f t="shared" si="0"/>
        <v>80</v>
      </c>
      <c r="L27" s="50">
        <v>240</v>
      </c>
      <c r="M27" s="17" t="s">
        <v>150</v>
      </c>
      <c r="N27" s="17" t="s">
        <v>105</v>
      </c>
      <c r="O27" s="18"/>
    </row>
    <row r="28" spans="1:15" ht="36" customHeight="1">
      <c r="A28" s="11" t="s">
        <v>176</v>
      </c>
      <c r="B28" s="57" t="s">
        <v>177</v>
      </c>
      <c r="C28" s="55" t="s">
        <v>178</v>
      </c>
      <c r="D28" s="59" t="s">
        <v>1089</v>
      </c>
      <c r="E28" s="11" t="s">
        <v>67</v>
      </c>
      <c r="F28" s="67">
        <v>1</v>
      </c>
      <c r="G28" s="14" t="s">
        <v>179</v>
      </c>
      <c r="H28" s="62">
        <v>385</v>
      </c>
      <c r="I28" s="62">
        <v>1</v>
      </c>
      <c r="J28" s="62">
        <f>30+15+1.5+1</f>
        <v>47.5</v>
      </c>
      <c r="K28" s="62">
        <f t="shared" si="0"/>
        <v>47.5</v>
      </c>
      <c r="L28" s="50">
        <v>171</v>
      </c>
      <c r="M28" s="17" t="s">
        <v>79</v>
      </c>
      <c r="N28" s="17" t="s">
        <v>176</v>
      </c>
      <c r="O28" s="18"/>
    </row>
    <row r="29" spans="1:15" ht="17.25" customHeight="1">
      <c r="A29" s="11" t="s">
        <v>180</v>
      </c>
      <c r="B29" s="57" t="s">
        <v>181</v>
      </c>
      <c r="C29" s="55" t="s">
        <v>182</v>
      </c>
      <c r="D29" s="59" t="s">
        <v>1089</v>
      </c>
      <c r="E29" s="11" t="s">
        <v>67</v>
      </c>
      <c r="F29" s="67">
        <v>1</v>
      </c>
      <c r="G29" s="14" t="s">
        <v>84</v>
      </c>
      <c r="H29" s="62">
        <v>942</v>
      </c>
      <c r="I29" s="62">
        <v>2</v>
      </c>
      <c r="J29" s="62">
        <f>((4*35)/2)+18</f>
        <v>88</v>
      </c>
      <c r="K29" s="62">
        <f t="shared" si="0"/>
        <v>176</v>
      </c>
      <c r="L29" s="50">
        <v>35.5</v>
      </c>
      <c r="M29" s="17" t="s">
        <v>79</v>
      </c>
      <c r="N29" s="17" t="s">
        <v>80</v>
      </c>
      <c r="O29" s="18"/>
    </row>
    <row r="30" spans="1:15" ht="17.25" customHeight="1">
      <c r="A30" s="11" t="s">
        <v>183</v>
      </c>
      <c r="B30" s="57" t="s">
        <v>184</v>
      </c>
      <c r="C30" s="55" t="s">
        <v>185</v>
      </c>
      <c r="D30" s="59" t="s">
        <v>1089</v>
      </c>
      <c r="E30" s="11" t="s">
        <v>67</v>
      </c>
      <c r="F30" s="67">
        <v>1</v>
      </c>
      <c r="G30" s="14" t="s">
        <v>186</v>
      </c>
      <c r="H30" s="62">
        <v>822</v>
      </c>
      <c r="I30" s="62">
        <v>2</v>
      </c>
      <c r="J30" s="62">
        <f>40+20</f>
        <v>60</v>
      </c>
      <c r="K30" s="62">
        <f t="shared" si="0"/>
        <v>120</v>
      </c>
      <c r="L30" s="50">
        <v>17.5</v>
      </c>
      <c r="M30" s="17" t="s">
        <v>79</v>
      </c>
      <c r="N30" s="17" t="s">
        <v>80</v>
      </c>
      <c r="O30" s="18"/>
    </row>
    <row r="31" spans="1:15" ht="25.5" customHeight="1">
      <c r="A31" s="11" t="s">
        <v>187</v>
      </c>
      <c r="B31" s="57" t="s">
        <v>188</v>
      </c>
      <c r="C31" s="55" t="s">
        <v>189</v>
      </c>
      <c r="D31" s="59" t="s">
        <v>1089</v>
      </c>
      <c r="E31" s="11" t="s">
        <v>67</v>
      </c>
      <c r="F31" s="67">
        <v>1</v>
      </c>
      <c r="G31" s="14" t="s">
        <v>190</v>
      </c>
      <c r="H31" s="62">
        <v>168</v>
      </c>
      <c r="I31" s="62">
        <v>2</v>
      </c>
      <c r="J31" s="62">
        <f>12+5</f>
        <v>17</v>
      </c>
      <c r="K31" s="62">
        <f t="shared" si="0"/>
        <v>34</v>
      </c>
      <c r="L31" s="50">
        <v>100</v>
      </c>
      <c r="M31" s="17" t="s">
        <v>79</v>
      </c>
      <c r="N31" s="17" t="s">
        <v>187</v>
      </c>
      <c r="O31" s="18"/>
    </row>
    <row r="32" spans="1:15" ht="36" customHeight="1">
      <c r="A32" s="11" t="s">
        <v>191</v>
      </c>
      <c r="B32" s="57" t="s">
        <v>192</v>
      </c>
      <c r="C32" s="55" t="s">
        <v>193</v>
      </c>
      <c r="D32" s="59" t="s">
        <v>1089</v>
      </c>
      <c r="E32" s="11" t="s">
        <v>67</v>
      </c>
      <c r="F32" s="67">
        <v>1</v>
      </c>
      <c r="G32" s="66" t="s">
        <v>194</v>
      </c>
      <c r="H32" s="62">
        <v>300</v>
      </c>
      <c r="I32" s="62">
        <v>1</v>
      </c>
      <c r="J32" s="62">
        <f>40+15</f>
        <v>55</v>
      </c>
      <c r="K32" s="62">
        <f t="shared" si="0"/>
        <v>55</v>
      </c>
      <c r="L32" s="50">
        <v>400</v>
      </c>
      <c r="M32" s="17" t="s">
        <v>195</v>
      </c>
      <c r="N32" s="17" t="s">
        <v>196</v>
      </c>
      <c r="O32" s="18"/>
    </row>
    <row r="33" spans="1:15" ht="17.25" customHeight="1">
      <c r="A33" s="11" t="s">
        <v>197</v>
      </c>
      <c r="B33" s="57" t="s">
        <v>198</v>
      </c>
      <c r="C33" s="55" t="s">
        <v>199</v>
      </c>
      <c r="D33" s="59" t="s">
        <v>1089</v>
      </c>
      <c r="E33" s="11" t="s">
        <v>67</v>
      </c>
      <c r="F33" s="67">
        <v>1</v>
      </c>
      <c r="G33" s="14" t="s">
        <v>84</v>
      </c>
      <c r="H33" s="62">
        <v>942</v>
      </c>
      <c r="I33" s="62">
        <v>4</v>
      </c>
      <c r="J33" s="62">
        <f>((4*35)/2)+18</f>
        <v>88</v>
      </c>
      <c r="K33" s="62">
        <f t="shared" si="0"/>
        <v>352</v>
      </c>
      <c r="L33" s="50">
        <v>43</v>
      </c>
      <c r="M33" s="17" t="s">
        <v>79</v>
      </c>
      <c r="N33" s="17" t="s">
        <v>80</v>
      </c>
      <c r="O33" s="18"/>
    </row>
    <row r="34" spans="1:15" ht="17.25" customHeight="1">
      <c r="A34" s="11" t="s">
        <v>200</v>
      </c>
      <c r="B34" s="57" t="s">
        <v>201</v>
      </c>
      <c r="C34" s="55" t="s">
        <v>202</v>
      </c>
      <c r="D34" s="59" t="s">
        <v>1089</v>
      </c>
      <c r="E34" s="11" t="s">
        <v>67</v>
      </c>
      <c r="F34" s="67">
        <v>1</v>
      </c>
      <c r="G34" s="14" t="s">
        <v>203</v>
      </c>
      <c r="H34" s="62">
        <v>227</v>
      </c>
      <c r="I34" s="62">
        <v>1</v>
      </c>
      <c r="J34" s="62">
        <f>40+14</f>
        <v>54</v>
      </c>
      <c r="K34" s="62">
        <f t="shared" si="0"/>
        <v>54</v>
      </c>
      <c r="L34" s="50">
        <v>74.5</v>
      </c>
      <c r="M34" s="17" t="s">
        <v>96</v>
      </c>
      <c r="N34" s="17" t="s">
        <v>80</v>
      </c>
      <c r="O34" s="18"/>
    </row>
    <row r="35" spans="1:15" ht="17.25" customHeight="1">
      <c r="A35" s="11" t="s">
        <v>204</v>
      </c>
      <c r="B35" s="57" t="s">
        <v>205</v>
      </c>
      <c r="C35" s="55" t="s">
        <v>206</v>
      </c>
      <c r="D35" s="59" t="s">
        <v>1089</v>
      </c>
      <c r="E35" s="11" t="s">
        <v>67</v>
      </c>
      <c r="F35" s="67">
        <v>1</v>
      </c>
      <c r="G35" s="14" t="s">
        <v>207</v>
      </c>
      <c r="H35" s="62">
        <v>220</v>
      </c>
      <c r="I35" s="62">
        <v>1</v>
      </c>
      <c r="J35" s="62">
        <f>36+18</f>
        <v>54</v>
      </c>
      <c r="K35" s="62">
        <f t="shared" si="0"/>
        <v>54</v>
      </c>
      <c r="L35" s="50">
        <v>107</v>
      </c>
      <c r="M35" s="17" t="s">
        <v>117</v>
      </c>
      <c r="N35" s="17" t="s">
        <v>118</v>
      </c>
      <c r="O35" s="18"/>
    </row>
    <row r="36" spans="1:15" ht="17.25" customHeight="1">
      <c r="A36" s="11" t="s">
        <v>208</v>
      </c>
      <c r="B36" s="57" t="s">
        <v>209</v>
      </c>
      <c r="C36" s="55" t="s">
        <v>210</v>
      </c>
      <c r="D36" s="59" t="s">
        <v>1089</v>
      </c>
      <c r="E36" s="11" t="s">
        <v>67</v>
      </c>
      <c r="F36" s="67">
        <v>1</v>
      </c>
      <c r="G36" s="14" t="s">
        <v>207</v>
      </c>
      <c r="H36" s="62">
        <v>220</v>
      </c>
      <c r="I36" s="62">
        <v>1</v>
      </c>
      <c r="J36" s="62">
        <f>36+18</f>
        <v>54</v>
      </c>
      <c r="K36" s="62">
        <f t="shared" si="0"/>
        <v>54</v>
      </c>
      <c r="L36" s="50">
        <v>107</v>
      </c>
      <c r="M36" s="17" t="s">
        <v>117</v>
      </c>
      <c r="N36" s="17" t="s">
        <v>118</v>
      </c>
      <c r="O36" s="18"/>
    </row>
    <row r="37" spans="1:15" ht="17.25" customHeight="1">
      <c r="A37" s="11" t="s">
        <v>211</v>
      </c>
      <c r="B37" s="57" t="s">
        <v>212</v>
      </c>
      <c r="C37" s="55" t="s">
        <v>213</v>
      </c>
      <c r="D37" s="59" t="s">
        <v>1089</v>
      </c>
      <c r="E37" s="11" t="s">
        <v>67</v>
      </c>
      <c r="F37" s="67">
        <v>1</v>
      </c>
      <c r="G37" s="14" t="s">
        <v>149</v>
      </c>
      <c r="H37" s="62">
        <v>212</v>
      </c>
      <c r="I37" s="62">
        <v>1</v>
      </c>
      <c r="J37" s="62">
        <f>40+10</f>
        <v>50</v>
      </c>
      <c r="K37" s="62">
        <f t="shared" si="0"/>
        <v>50</v>
      </c>
      <c r="L37" s="50">
        <v>100</v>
      </c>
      <c r="M37" s="17" t="s">
        <v>117</v>
      </c>
      <c r="N37" s="17" t="s">
        <v>118</v>
      </c>
      <c r="O37" s="18"/>
    </row>
    <row r="38" spans="1:15" ht="17.25" customHeight="1">
      <c r="A38" s="11" t="s">
        <v>214</v>
      </c>
      <c r="B38" s="57" t="s">
        <v>215</v>
      </c>
      <c r="C38" s="55" t="s">
        <v>216</v>
      </c>
      <c r="D38" s="59" t="s">
        <v>1089</v>
      </c>
      <c r="E38" s="11" t="s">
        <v>67</v>
      </c>
      <c r="F38" s="67">
        <v>1</v>
      </c>
      <c r="G38" s="14" t="s">
        <v>84</v>
      </c>
      <c r="H38" s="62">
        <v>942</v>
      </c>
      <c r="I38" s="62">
        <v>4</v>
      </c>
      <c r="J38" s="62">
        <f>((4*35)/2)+18</f>
        <v>88</v>
      </c>
      <c r="K38" s="62">
        <f t="shared" si="0"/>
        <v>352</v>
      </c>
      <c r="L38" s="50">
        <v>43</v>
      </c>
      <c r="M38" s="17" t="s">
        <v>79</v>
      </c>
      <c r="N38" s="17" t="s">
        <v>80</v>
      </c>
      <c r="O38" s="18"/>
    </row>
    <row r="39" spans="1:15" ht="17.25" customHeight="1">
      <c r="A39" s="11" t="s">
        <v>217</v>
      </c>
      <c r="B39" s="57" t="s">
        <v>218</v>
      </c>
      <c r="C39" s="55" t="s">
        <v>219</v>
      </c>
      <c r="D39" s="59" t="s">
        <v>1089</v>
      </c>
      <c r="E39" s="11" t="s">
        <v>67</v>
      </c>
      <c r="F39" s="67">
        <v>1</v>
      </c>
      <c r="G39" s="14" t="s">
        <v>203</v>
      </c>
      <c r="H39" s="62">
        <v>227</v>
      </c>
      <c r="I39" s="62">
        <v>1</v>
      </c>
      <c r="J39" s="62">
        <f>40+14</f>
        <v>54</v>
      </c>
      <c r="K39" s="62">
        <f t="shared" si="0"/>
        <v>54</v>
      </c>
      <c r="L39" s="50">
        <v>85</v>
      </c>
      <c r="M39" s="17" t="s">
        <v>96</v>
      </c>
      <c r="N39" s="17" t="s">
        <v>80</v>
      </c>
      <c r="O39" s="18"/>
    </row>
    <row r="40" spans="1:15" ht="51.75" customHeight="1">
      <c r="A40" s="11" t="s">
        <v>220</v>
      </c>
      <c r="B40" s="57" t="s">
        <v>221</v>
      </c>
      <c r="C40" s="55" t="s">
        <v>222</v>
      </c>
      <c r="D40" s="59" t="s">
        <v>1089</v>
      </c>
      <c r="E40" s="11" t="s">
        <v>67</v>
      </c>
      <c r="F40" s="67">
        <v>1</v>
      </c>
      <c r="G40" s="14" t="s">
        <v>223</v>
      </c>
      <c r="H40" s="62">
        <v>158</v>
      </c>
      <c r="I40" s="62">
        <v>1</v>
      </c>
      <c r="J40" s="62">
        <f>35+9+3+5</f>
        <v>52</v>
      </c>
      <c r="K40" s="62">
        <f t="shared" si="0"/>
        <v>52</v>
      </c>
      <c r="L40" s="50">
        <v>171.5</v>
      </c>
      <c r="M40" s="17" t="s">
        <v>79</v>
      </c>
      <c r="N40" s="17" t="s">
        <v>80</v>
      </c>
      <c r="O40" s="18"/>
    </row>
    <row r="41" spans="1:15" ht="17.25" customHeight="1">
      <c r="A41" s="11" t="s">
        <v>224</v>
      </c>
      <c r="B41" s="57" t="s">
        <v>225</v>
      </c>
      <c r="C41" s="55" t="s">
        <v>226</v>
      </c>
      <c r="D41" s="59" t="s">
        <v>1089</v>
      </c>
      <c r="E41" s="11" t="s">
        <v>67</v>
      </c>
      <c r="F41" s="67">
        <v>1</v>
      </c>
      <c r="G41" s="14" t="s">
        <v>227</v>
      </c>
      <c r="H41" s="62">
        <v>325</v>
      </c>
      <c r="I41" s="62">
        <v>1</v>
      </c>
      <c r="J41" s="62">
        <f>((2*32)/2)+8</f>
        <v>40</v>
      </c>
      <c r="K41" s="62">
        <f t="shared" si="0"/>
        <v>40</v>
      </c>
      <c r="L41" s="50">
        <v>330</v>
      </c>
      <c r="M41" s="17" t="s">
        <v>228</v>
      </c>
      <c r="N41" s="17" t="s">
        <v>229</v>
      </c>
      <c r="O41" s="18"/>
    </row>
    <row r="42" spans="1:15" ht="17.25" customHeight="1">
      <c r="A42" s="11" t="s">
        <v>230</v>
      </c>
      <c r="B42" s="57" t="s">
        <v>231</v>
      </c>
      <c r="C42" s="55" t="s">
        <v>232</v>
      </c>
      <c r="D42" s="59" t="s">
        <v>1089</v>
      </c>
      <c r="E42" s="11" t="s">
        <v>67</v>
      </c>
      <c r="F42" s="67">
        <v>1</v>
      </c>
      <c r="G42" s="14" t="s">
        <v>233</v>
      </c>
      <c r="H42" s="62">
        <v>252</v>
      </c>
      <c r="I42" s="62">
        <v>2</v>
      </c>
      <c r="J42" s="62">
        <f>18+5</f>
        <v>23</v>
      </c>
      <c r="K42" s="62">
        <f t="shared" si="0"/>
        <v>46</v>
      </c>
      <c r="L42" s="50">
        <v>69</v>
      </c>
      <c r="M42" s="17" t="s">
        <v>234</v>
      </c>
      <c r="N42" s="17" t="s">
        <v>230</v>
      </c>
      <c r="O42" s="18"/>
    </row>
    <row r="43" spans="1:15" ht="15" customHeight="1">
      <c r="A43" s="11" t="s">
        <v>235</v>
      </c>
      <c r="B43" s="57" t="s">
        <v>236</v>
      </c>
      <c r="C43" s="55" t="s">
        <v>237</v>
      </c>
      <c r="D43" s="59" t="s">
        <v>1089</v>
      </c>
      <c r="E43" s="11" t="s">
        <v>67</v>
      </c>
      <c r="F43" s="67">
        <v>1</v>
      </c>
      <c r="G43" s="14" t="s">
        <v>78</v>
      </c>
      <c r="H43" s="62">
        <v>728</v>
      </c>
      <c r="I43" s="62">
        <v>4</v>
      </c>
      <c r="J43" s="62">
        <v>40</v>
      </c>
      <c r="K43" s="62">
        <f t="shared" si="0"/>
        <v>160</v>
      </c>
      <c r="L43" s="50">
        <v>27</v>
      </c>
      <c r="M43" s="17" t="s">
        <v>79</v>
      </c>
      <c r="N43" s="17" t="s">
        <v>80</v>
      </c>
      <c r="O43" s="18"/>
    </row>
    <row r="44" spans="1:15" ht="15" customHeight="1">
      <c r="A44" s="11" t="s">
        <v>238</v>
      </c>
      <c r="B44" s="57" t="s">
        <v>239</v>
      </c>
      <c r="C44" s="55" t="s">
        <v>240</v>
      </c>
      <c r="D44" s="59" t="s">
        <v>1089</v>
      </c>
      <c r="E44" s="11" t="s">
        <v>67</v>
      </c>
      <c r="F44" s="67">
        <v>1</v>
      </c>
      <c r="G44" s="14" t="s">
        <v>78</v>
      </c>
      <c r="H44" s="62">
        <v>728</v>
      </c>
      <c r="I44" s="62">
        <v>4</v>
      </c>
      <c r="J44" s="62">
        <v>40</v>
      </c>
      <c r="K44" s="62">
        <f t="shared" si="0"/>
        <v>160</v>
      </c>
      <c r="L44" s="50">
        <v>15</v>
      </c>
      <c r="M44" s="17" t="s">
        <v>79</v>
      </c>
      <c r="N44" s="17" t="s">
        <v>80</v>
      </c>
      <c r="O44" s="18"/>
    </row>
    <row r="45" spans="1:15" ht="17.25" customHeight="1">
      <c r="A45" s="11" t="s">
        <v>241</v>
      </c>
      <c r="B45" s="57" t="s">
        <v>242</v>
      </c>
      <c r="C45" s="55" t="s">
        <v>243</v>
      </c>
      <c r="D45" s="59" t="s">
        <v>1089</v>
      </c>
      <c r="E45" s="11" t="s">
        <v>67</v>
      </c>
      <c r="F45" s="67">
        <v>1</v>
      </c>
      <c r="G45" s="14" t="s">
        <v>122</v>
      </c>
      <c r="H45" s="62">
        <v>207</v>
      </c>
      <c r="I45" s="62">
        <v>1</v>
      </c>
      <c r="J45" s="62">
        <f>40+15</f>
        <v>55</v>
      </c>
      <c r="K45" s="62">
        <f t="shared" si="0"/>
        <v>55</v>
      </c>
      <c r="L45" s="50">
        <v>110</v>
      </c>
      <c r="M45" s="17" t="s">
        <v>244</v>
      </c>
      <c r="N45" s="17" t="s">
        <v>80</v>
      </c>
      <c r="O45" s="18"/>
    </row>
    <row r="46" spans="1:15" ht="24" customHeight="1">
      <c r="A46" s="11" t="s">
        <v>245</v>
      </c>
      <c r="B46" s="57" t="s">
        <v>246</v>
      </c>
      <c r="C46" s="55" t="s">
        <v>247</v>
      </c>
      <c r="D46" s="59" t="s">
        <v>1089</v>
      </c>
      <c r="E46" s="11" t="s">
        <v>67</v>
      </c>
      <c r="F46" s="67">
        <v>1</v>
      </c>
      <c r="G46" s="14" t="s">
        <v>248</v>
      </c>
      <c r="H46" s="62">
        <v>178</v>
      </c>
      <c r="I46" s="62">
        <v>2</v>
      </c>
      <c r="J46" s="62">
        <f>18+8+1</f>
        <v>27</v>
      </c>
      <c r="K46" s="62">
        <f t="shared" si="0"/>
        <v>54</v>
      </c>
      <c r="L46" s="50">
        <v>455</v>
      </c>
      <c r="M46" s="17" t="s">
        <v>249</v>
      </c>
      <c r="N46" s="17" t="s">
        <v>245</v>
      </c>
      <c r="O46" s="18"/>
    </row>
    <row r="47" spans="1:15" ht="17.25" customHeight="1">
      <c r="A47" s="11" t="s">
        <v>250</v>
      </c>
      <c r="B47" s="57" t="s">
        <v>251</v>
      </c>
      <c r="C47" s="55" t="s">
        <v>252</v>
      </c>
      <c r="D47" s="59" t="s">
        <v>1089</v>
      </c>
      <c r="E47" s="11" t="s">
        <v>67</v>
      </c>
      <c r="F47" s="67">
        <v>1</v>
      </c>
      <c r="G47" s="14" t="s">
        <v>253</v>
      </c>
      <c r="H47" s="62">
        <v>202</v>
      </c>
      <c r="I47" s="62">
        <v>1</v>
      </c>
      <c r="J47" s="62">
        <f>40+11</f>
        <v>51</v>
      </c>
      <c r="K47" s="62">
        <f t="shared" si="0"/>
        <v>51</v>
      </c>
      <c r="L47" s="50">
        <v>86</v>
      </c>
      <c r="M47" s="17" t="s">
        <v>254</v>
      </c>
      <c r="N47" s="17" t="s">
        <v>105</v>
      </c>
      <c r="O47" s="18"/>
    </row>
    <row r="48" spans="1:15" ht="24" customHeight="1">
      <c r="A48" s="11" t="s">
        <v>255</v>
      </c>
      <c r="B48" s="57" t="s">
        <v>256</v>
      </c>
      <c r="C48" s="55" t="s">
        <v>257</v>
      </c>
      <c r="D48" s="59" t="s">
        <v>1089</v>
      </c>
      <c r="E48" s="11" t="s">
        <v>67</v>
      </c>
      <c r="F48" s="67">
        <v>1</v>
      </c>
      <c r="G48" s="14" t="s">
        <v>258</v>
      </c>
      <c r="H48" s="62">
        <v>330</v>
      </c>
      <c r="I48" s="62">
        <v>1</v>
      </c>
      <c r="J48" s="65">
        <f>((2*27)/2)+18+1.5</f>
        <v>46.5</v>
      </c>
      <c r="K48" s="62">
        <f t="shared" si="0"/>
        <v>46.5</v>
      </c>
      <c r="L48" s="50">
        <v>165</v>
      </c>
      <c r="M48" s="17" t="s">
        <v>79</v>
      </c>
      <c r="N48" s="17" t="s">
        <v>255</v>
      </c>
      <c r="O48" s="18"/>
    </row>
    <row r="49" spans="1:15" ht="17.25" customHeight="1">
      <c r="A49" s="11" t="s">
        <v>259</v>
      </c>
      <c r="B49" s="57" t="s">
        <v>260</v>
      </c>
      <c r="C49" s="55" t="s">
        <v>261</v>
      </c>
      <c r="D49" s="59" t="s">
        <v>1089</v>
      </c>
      <c r="E49" s="11" t="s">
        <v>67</v>
      </c>
      <c r="F49" s="67">
        <v>1</v>
      </c>
      <c r="G49" s="14" t="s">
        <v>159</v>
      </c>
      <c r="H49" s="62">
        <v>336</v>
      </c>
      <c r="I49" s="62">
        <v>2</v>
      </c>
      <c r="J49" s="62">
        <f>((4*40)/2)+20</f>
        <v>100</v>
      </c>
      <c r="K49" s="62">
        <f t="shared" si="0"/>
        <v>200</v>
      </c>
      <c r="L49" s="50">
        <v>13.5</v>
      </c>
      <c r="M49" s="17" t="s">
        <v>79</v>
      </c>
      <c r="N49" s="17" t="s">
        <v>80</v>
      </c>
      <c r="O49" s="18"/>
    </row>
    <row r="50" spans="1:15" ht="15" customHeight="1">
      <c r="A50" s="11" t="s">
        <v>262</v>
      </c>
      <c r="B50" s="57" t="s">
        <v>263</v>
      </c>
      <c r="C50" s="55" t="s">
        <v>264</v>
      </c>
      <c r="D50" s="59" t="s">
        <v>1089</v>
      </c>
      <c r="E50" s="11" t="s">
        <v>67</v>
      </c>
      <c r="F50" s="67">
        <v>1</v>
      </c>
      <c r="G50" s="14" t="s">
        <v>78</v>
      </c>
      <c r="H50" s="62">
        <v>728</v>
      </c>
      <c r="I50" s="62">
        <v>4</v>
      </c>
      <c r="J50" s="62">
        <v>40</v>
      </c>
      <c r="K50" s="62">
        <f t="shared" si="0"/>
        <v>160</v>
      </c>
      <c r="L50" s="50">
        <v>27</v>
      </c>
      <c r="M50" s="17" t="s">
        <v>96</v>
      </c>
      <c r="N50" s="17" t="s">
        <v>80</v>
      </c>
      <c r="O50" s="18"/>
    </row>
    <row r="51" spans="1:15" ht="15" customHeight="1">
      <c r="A51" s="11" t="s">
        <v>265</v>
      </c>
      <c r="B51" s="57" t="s">
        <v>266</v>
      </c>
      <c r="C51" s="55" t="s">
        <v>267</v>
      </c>
      <c r="D51" s="59" t="s">
        <v>1089</v>
      </c>
      <c r="E51" s="11" t="s">
        <v>67</v>
      </c>
      <c r="F51" s="67">
        <v>1</v>
      </c>
      <c r="G51" s="14" t="s">
        <v>78</v>
      </c>
      <c r="H51" s="62">
        <v>728</v>
      </c>
      <c r="I51" s="62">
        <v>4</v>
      </c>
      <c r="J51" s="62">
        <v>40</v>
      </c>
      <c r="K51" s="62">
        <f t="shared" si="0"/>
        <v>160</v>
      </c>
      <c r="L51" s="50">
        <v>57.5</v>
      </c>
      <c r="M51" s="17" t="s">
        <v>96</v>
      </c>
      <c r="N51" s="17" t="s">
        <v>80</v>
      </c>
      <c r="O51" s="18"/>
    </row>
    <row r="52" spans="1:15" ht="15" customHeight="1">
      <c r="A52" s="11" t="s">
        <v>268</v>
      </c>
      <c r="B52" s="57" t="s">
        <v>269</v>
      </c>
      <c r="C52" s="55" t="s">
        <v>270</v>
      </c>
      <c r="D52" s="59" t="s">
        <v>1089</v>
      </c>
      <c r="E52" s="11" t="s">
        <v>67</v>
      </c>
      <c r="F52" s="67">
        <v>1</v>
      </c>
      <c r="G52" s="14" t="s">
        <v>78</v>
      </c>
      <c r="H52" s="62">
        <v>1428</v>
      </c>
      <c r="I52" s="62">
        <v>4</v>
      </c>
      <c r="J52" s="62">
        <v>40</v>
      </c>
      <c r="K52" s="62">
        <f t="shared" si="0"/>
        <v>160</v>
      </c>
      <c r="L52" s="50">
        <v>11.5</v>
      </c>
      <c r="M52" s="17" t="s">
        <v>79</v>
      </c>
      <c r="N52" s="17" t="s">
        <v>80</v>
      </c>
      <c r="O52" s="18"/>
    </row>
    <row r="53" spans="1:15" ht="24" customHeight="1">
      <c r="A53" s="11" t="s">
        <v>271</v>
      </c>
      <c r="B53" s="57" t="s">
        <v>272</v>
      </c>
      <c r="C53" s="55" t="s">
        <v>273</v>
      </c>
      <c r="D53" s="59" t="s">
        <v>1089</v>
      </c>
      <c r="E53" s="11" t="s">
        <v>67</v>
      </c>
      <c r="F53" s="67">
        <v>1</v>
      </c>
      <c r="G53" s="14" t="s">
        <v>274</v>
      </c>
      <c r="H53" s="62">
        <v>378</v>
      </c>
      <c r="I53" s="62">
        <v>3</v>
      </c>
      <c r="J53" s="65">
        <f>18+0.333333333333333</f>
        <v>18.333333333333332</v>
      </c>
      <c r="K53" s="62">
        <f t="shared" si="0"/>
        <v>55</v>
      </c>
      <c r="L53" s="50">
        <v>12</v>
      </c>
      <c r="M53" s="17" t="s">
        <v>79</v>
      </c>
      <c r="N53" s="17" t="s">
        <v>271</v>
      </c>
      <c r="O53" s="18"/>
    </row>
    <row r="54" spans="1:15" ht="17.25" customHeight="1">
      <c r="A54" s="11" t="s">
        <v>275</v>
      </c>
      <c r="B54" s="57" t="s">
        <v>276</v>
      </c>
      <c r="C54" s="55" t="s">
        <v>277</v>
      </c>
      <c r="D54" s="59" t="s">
        <v>1089</v>
      </c>
      <c r="E54" s="11" t="s">
        <v>67</v>
      </c>
      <c r="F54" s="67">
        <v>1</v>
      </c>
      <c r="G54" s="14" t="s">
        <v>278</v>
      </c>
      <c r="H54" s="62">
        <v>286</v>
      </c>
      <c r="I54" s="62">
        <v>2</v>
      </c>
      <c r="J54" s="62">
        <f>32+6</f>
        <v>38</v>
      </c>
      <c r="K54" s="62">
        <f t="shared" si="0"/>
        <v>76</v>
      </c>
      <c r="L54" s="50">
        <v>152</v>
      </c>
      <c r="M54" s="17" t="s">
        <v>254</v>
      </c>
      <c r="N54" s="17" t="s">
        <v>275</v>
      </c>
      <c r="O54" s="18"/>
    </row>
    <row r="55" spans="1:15" ht="17.25" customHeight="1">
      <c r="A55" s="11" t="s">
        <v>279</v>
      </c>
      <c r="B55" s="57" t="s">
        <v>280</v>
      </c>
      <c r="C55" s="55" t="s">
        <v>281</v>
      </c>
      <c r="D55" s="59" t="s">
        <v>1089</v>
      </c>
      <c r="E55" s="11" t="s">
        <v>67</v>
      </c>
      <c r="F55" s="67">
        <v>1</v>
      </c>
      <c r="G55" s="14" t="s">
        <v>186</v>
      </c>
      <c r="H55" s="62">
        <v>902</v>
      </c>
      <c r="I55" s="62">
        <v>2</v>
      </c>
      <c r="J55" s="62">
        <f>((4*40)/2)+20</f>
        <v>100</v>
      </c>
      <c r="K55" s="62">
        <f t="shared" si="0"/>
        <v>200</v>
      </c>
      <c r="L55" s="50">
        <v>29.5</v>
      </c>
      <c r="M55" s="17" t="s">
        <v>79</v>
      </c>
      <c r="N55" s="17" t="s">
        <v>80</v>
      </c>
      <c r="O55" s="18"/>
    </row>
    <row r="56" spans="1:15" ht="25.5" customHeight="1">
      <c r="A56" s="11" t="s">
        <v>282</v>
      </c>
      <c r="B56" s="57" t="s">
        <v>283</v>
      </c>
      <c r="C56" s="55" t="s">
        <v>284</v>
      </c>
      <c r="D56" s="59" t="s">
        <v>1089</v>
      </c>
      <c r="E56" s="11" t="s">
        <v>67</v>
      </c>
      <c r="F56" s="67">
        <v>1</v>
      </c>
      <c r="G56" s="14" t="s">
        <v>285</v>
      </c>
      <c r="H56" s="62">
        <v>85</v>
      </c>
      <c r="I56" s="62">
        <v>1</v>
      </c>
      <c r="J56" s="62">
        <f>20+7+1</f>
        <v>28</v>
      </c>
      <c r="K56" s="62">
        <f t="shared" si="0"/>
        <v>28</v>
      </c>
      <c r="L56" s="50">
        <v>31.74</v>
      </c>
      <c r="M56" s="17" t="s">
        <v>286</v>
      </c>
      <c r="N56" s="17" t="s">
        <v>80</v>
      </c>
      <c r="O56" s="18"/>
    </row>
    <row r="57" spans="1:15" ht="17.25" customHeight="1">
      <c r="A57" s="11" t="s">
        <v>287</v>
      </c>
      <c r="B57" s="57" t="s">
        <v>288</v>
      </c>
      <c r="C57" s="55" t="s">
        <v>289</v>
      </c>
      <c r="D57" s="59" t="s">
        <v>1089</v>
      </c>
      <c r="E57" s="11" t="s">
        <v>67</v>
      </c>
      <c r="F57" s="67">
        <v>1</v>
      </c>
      <c r="G57" s="14" t="s">
        <v>84</v>
      </c>
      <c r="H57" s="62">
        <v>600</v>
      </c>
      <c r="I57" s="62">
        <v>4</v>
      </c>
      <c r="J57" s="62">
        <f>((4*35)/2)+18</f>
        <v>88</v>
      </c>
      <c r="K57" s="62">
        <f t="shared" si="0"/>
        <v>352</v>
      </c>
      <c r="L57" s="50">
        <v>19.5</v>
      </c>
      <c r="M57" s="17" t="s">
        <v>79</v>
      </c>
      <c r="N57" s="17" t="s">
        <v>80</v>
      </c>
      <c r="O57" s="18"/>
    </row>
    <row r="58" spans="1:15" ht="24" customHeight="1">
      <c r="A58" s="11" t="s">
        <v>291</v>
      </c>
      <c r="B58" s="57" t="s">
        <v>292</v>
      </c>
      <c r="C58" s="55" t="s">
        <v>79</v>
      </c>
      <c r="D58" s="59"/>
      <c r="E58" s="11" t="s">
        <v>67</v>
      </c>
      <c r="F58" s="67">
        <v>1</v>
      </c>
      <c r="G58" s="14" t="s">
        <v>293</v>
      </c>
      <c r="H58" s="63"/>
      <c r="I58" s="63"/>
      <c r="J58" s="63"/>
      <c r="K58" s="63">
        <v>30</v>
      </c>
      <c r="L58" s="50">
        <v>115</v>
      </c>
      <c r="M58" s="18"/>
      <c r="N58" s="18"/>
      <c r="O58" s="22" t="s">
        <v>294</v>
      </c>
    </row>
    <row r="59" spans="1:15" ht="15" customHeight="1">
      <c r="A59" s="11" t="s">
        <v>291</v>
      </c>
      <c r="B59" s="57" t="s">
        <v>295</v>
      </c>
      <c r="C59" s="55" t="s">
        <v>117</v>
      </c>
      <c r="D59" s="59"/>
      <c r="E59" s="11" t="s">
        <v>67</v>
      </c>
      <c r="F59" s="67">
        <v>1</v>
      </c>
      <c r="G59" s="14" t="s">
        <v>296</v>
      </c>
      <c r="H59" s="63"/>
      <c r="I59" s="63"/>
      <c r="J59" s="63"/>
      <c r="K59" s="63">
        <v>5</v>
      </c>
      <c r="L59" s="50">
        <v>135</v>
      </c>
      <c r="M59" s="18"/>
      <c r="N59" s="18"/>
      <c r="O59" s="22" t="s">
        <v>297</v>
      </c>
    </row>
    <row r="60" spans="1:15" ht="15" customHeight="1">
      <c r="A60" s="11" t="s">
        <v>291</v>
      </c>
      <c r="B60" s="57" t="s">
        <v>298</v>
      </c>
      <c r="C60" s="55" t="s">
        <v>244</v>
      </c>
      <c r="D60" s="59"/>
      <c r="E60" s="11" t="s">
        <v>67</v>
      </c>
      <c r="F60" s="67">
        <v>1</v>
      </c>
      <c r="G60" s="14" t="s">
        <v>299</v>
      </c>
      <c r="H60" s="63"/>
      <c r="I60" s="63"/>
      <c r="J60" s="63"/>
      <c r="K60" s="63">
        <v>3</v>
      </c>
      <c r="L60" s="50">
        <v>100</v>
      </c>
      <c r="M60" s="18"/>
      <c r="N60" s="18"/>
      <c r="O60" s="22" t="s">
        <v>300</v>
      </c>
    </row>
    <row r="61" spans="1:15" ht="15" customHeight="1">
      <c r="A61" s="11" t="s">
        <v>291</v>
      </c>
      <c r="B61" s="57" t="s">
        <v>301</v>
      </c>
      <c r="C61" s="55" t="s">
        <v>96</v>
      </c>
      <c r="D61" s="59"/>
      <c r="E61" s="11" t="s">
        <v>67</v>
      </c>
      <c r="F61" s="67">
        <v>1</v>
      </c>
      <c r="G61" s="14" t="s">
        <v>296</v>
      </c>
      <c r="H61" s="63"/>
      <c r="I61" s="63"/>
      <c r="J61" s="63"/>
      <c r="K61" s="63">
        <v>5</v>
      </c>
      <c r="L61" s="50">
        <v>100</v>
      </c>
      <c r="M61" s="18"/>
      <c r="N61" s="18"/>
      <c r="O61" s="22" t="s">
        <v>302</v>
      </c>
    </row>
    <row r="62" spans="1:15" ht="15" customHeight="1">
      <c r="A62" s="11" t="s">
        <v>291</v>
      </c>
      <c r="B62" s="57" t="s">
        <v>303</v>
      </c>
      <c r="C62" s="55" t="s">
        <v>228</v>
      </c>
      <c r="D62" s="59"/>
      <c r="E62" s="11" t="s">
        <v>67</v>
      </c>
      <c r="F62" s="67">
        <v>1</v>
      </c>
      <c r="G62" s="14" t="s">
        <v>299</v>
      </c>
      <c r="H62" s="63"/>
      <c r="I62" s="63"/>
      <c r="J62" s="63"/>
      <c r="K62" s="63">
        <v>3</v>
      </c>
      <c r="L62" s="50">
        <v>200</v>
      </c>
      <c r="M62" s="18"/>
      <c r="N62" s="18"/>
      <c r="O62" s="22" t="s">
        <v>304</v>
      </c>
    </row>
    <row r="63" spans="1:15" ht="15" customHeight="1">
      <c r="A63" s="11" t="s">
        <v>291</v>
      </c>
      <c r="B63" s="57" t="s">
        <v>305</v>
      </c>
      <c r="C63" s="55" t="s">
        <v>137</v>
      </c>
      <c r="D63" s="59"/>
      <c r="E63" s="11" t="s">
        <v>67</v>
      </c>
      <c r="F63" s="67">
        <v>1</v>
      </c>
      <c r="G63" s="14" t="s">
        <v>299</v>
      </c>
      <c r="H63" s="63"/>
      <c r="I63" s="63"/>
      <c r="J63" s="63"/>
      <c r="K63" s="63">
        <v>3</v>
      </c>
      <c r="L63" s="50">
        <v>90</v>
      </c>
      <c r="M63" s="18"/>
      <c r="N63" s="18"/>
      <c r="O63" s="22" t="s">
        <v>306</v>
      </c>
    </row>
    <row r="64" spans="1:15" ht="15" customHeight="1">
      <c r="A64" s="11" t="s">
        <v>291</v>
      </c>
      <c r="B64" s="57" t="s">
        <v>307</v>
      </c>
      <c r="C64" s="55" t="s">
        <v>308</v>
      </c>
      <c r="D64" s="59"/>
      <c r="E64" s="11" t="s">
        <v>67</v>
      </c>
      <c r="F64" s="67">
        <v>1</v>
      </c>
      <c r="G64" s="14" t="s">
        <v>309</v>
      </c>
      <c r="H64" s="63"/>
      <c r="I64" s="63"/>
      <c r="J64" s="63"/>
      <c r="K64" s="63">
        <v>4</v>
      </c>
      <c r="L64" s="50">
        <v>292</v>
      </c>
      <c r="M64" s="18"/>
      <c r="N64" s="18"/>
      <c r="O64" s="22" t="s">
        <v>310</v>
      </c>
    </row>
    <row r="65" spans="1:15" ht="15" customHeight="1">
      <c r="A65" s="11" t="s">
        <v>291</v>
      </c>
      <c r="B65" s="57" t="s">
        <v>311</v>
      </c>
      <c r="C65" s="55" t="s">
        <v>249</v>
      </c>
      <c r="D65" s="59"/>
      <c r="E65" s="11" t="s">
        <v>67</v>
      </c>
      <c r="F65" s="67">
        <v>1</v>
      </c>
      <c r="G65" s="14" t="s">
        <v>312</v>
      </c>
      <c r="H65" s="63"/>
      <c r="I65" s="63"/>
      <c r="J65" s="63"/>
      <c r="K65" s="63">
        <v>1</v>
      </c>
      <c r="L65" s="50">
        <v>63</v>
      </c>
      <c r="M65" s="18"/>
      <c r="N65" s="18"/>
      <c r="O65" s="22" t="s">
        <v>313</v>
      </c>
    </row>
    <row r="66" spans="1:15" ht="15" customHeight="1">
      <c r="A66" s="11" t="s">
        <v>291</v>
      </c>
      <c r="B66" s="57" t="s">
        <v>314</v>
      </c>
      <c r="C66" s="55" t="s">
        <v>286</v>
      </c>
      <c r="D66" s="59"/>
      <c r="E66" s="11" t="s">
        <v>67</v>
      </c>
      <c r="F66" s="67">
        <v>1</v>
      </c>
      <c r="G66" s="14" t="s">
        <v>312</v>
      </c>
      <c r="H66" s="63"/>
      <c r="I66" s="63"/>
      <c r="J66" s="63"/>
      <c r="K66" s="63">
        <v>1</v>
      </c>
      <c r="L66" s="50">
        <v>8</v>
      </c>
      <c r="M66" s="18"/>
      <c r="N66" s="18"/>
      <c r="O66" s="22" t="s">
        <v>315</v>
      </c>
    </row>
    <row r="67" spans="1:15" ht="15" customHeight="1">
      <c r="A67" s="11" t="s">
        <v>291</v>
      </c>
      <c r="B67" s="57" t="s">
        <v>316</v>
      </c>
      <c r="C67" s="55" t="s">
        <v>317</v>
      </c>
      <c r="D67" s="59"/>
      <c r="E67" s="11" t="s">
        <v>67</v>
      </c>
      <c r="F67" s="67">
        <v>1</v>
      </c>
      <c r="G67" s="14" t="s">
        <v>318</v>
      </c>
      <c r="H67" s="63"/>
      <c r="I67" s="63"/>
      <c r="J67" s="63"/>
      <c r="K67" s="63">
        <v>6</v>
      </c>
      <c r="L67" s="50">
        <v>283</v>
      </c>
      <c r="M67" s="18"/>
      <c r="N67" s="18"/>
      <c r="O67" s="22" t="s">
        <v>319</v>
      </c>
    </row>
    <row r="68" spans="1:15" ht="15" customHeight="1">
      <c r="A68" s="11" t="s">
        <v>291</v>
      </c>
      <c r="B68" s="57" t="s">
        <v>320</v>
      </c>
      <c r="C68" s="55" t="s">
        <v>172</v>
      </c>
      <c r="D68" s="59"/>
      <c r="E68" s="11" t="s">
        <v>67</v>
      </c>
      <c r="F68" s="67">
        <v>1</v>
      </c>
      <c r="G68" s="14" t="s">
        <v>321</v>
      </c>
      <c r="H68" s="63"/>
      <c r="I68" s="63"/>
      <c r="J68" s="63"/>
      <c r="K68" s="63">
        <v>8</v>
      </c>
      <c r="L68" s="50">
        <v>297.2</v>
      </c>
      <c r="M68" s="18"/>
      <c r="N68" s="18"/>
      <c r="O68" s="22" t="s">
        <v>322</v>
      </c>
    </row>
    <row r="69" spans="1:15" ht="15" customHeight="1">
      <c r="A69" s="11" t="s">
        <v>291</v>
      </c>
      <c r="B69" s="57" t="s">
        <v>323</v>
      </c>
      <c r="C69" s="55" t="s">
        <v>69</v>
      </c>
      <c r="D69" s="59"/>
      <c r="E69" s="11" t="s">
        <v>67</v>
      </c>
      <c r="F69" s="67">
        <v>1</v>
      </c>
      <c r="G69" s="14" t="s">
        <v>312</v>
      </c>
      <c r="H69" s="63"/>
      <c r="I69" s="63"/>
      <c r="J69" s="63"/>
      <c r="K69" s="63">
        <v>1</v>
      </c>
      <c r="L69" s="50">
        <v>102</v>
      </c>
      <c r="M69" s="18"/>
      <c r="N69" s="18"/>
      <c r="O69" s="22" t="s">
        <v>324</v>
      </c>
    </row>
    <row r="70" spans="1:15" ht="15" customHeight="1">
      <c r="A70" s="11" t="s">
        <v>291</v>
      </c>
      <c r="B70" s="57" t="s">
        <v>325</v>
      </c>
      <c r="C70" s="55" t="s">
        <v>234</v>
      </c>
      <c r="D70" s="59"/>
      <c r="E70" s="11" t="s">
        <v>67</v>
      </c>
      <c r="F70" s="67">
        <v>1</v>
      </c>
      <c r="G70" s="14" t="s">
        <v>326</v>
      </c>
      <c r="H70" s="63"/>
      <c r="I70" s="63"/>
      <c r="J70" s="63"/>
      <c r="K70" s="63">
        <v>5</v>
      </c>
      <c r="L70" s="50">
        <v>75.8</v>
      </c>
      <c r="M70" s="18"/>
      <c r="N70" s="18"/>
      <c r="O70" s="22" t="s">
        <v>327</v>
      </c>
    </row>
    <row r="71" spans="1:15" ht="15" customHeight="1">
      <c r="A71" s="11" t="s">
        <v>291</v>
      </c>
      <c r="B71" s="57" t="s">
        <v>328</v>
      </c>
      <c r="C71" s="55" t="s">
        <v>254</v>
      </c>
      <c r="D71" s="59"/>
      <c r="E71" s="11" t="s">
        <v>67</v>
      </c>
      <c r="F71" s="67">
        <v>1</v>
      </c>
      <c r="G71" s="14" t="s">
        <v>326</v>
      </c>
      <c r="H71" s="63"/>
      <c r="I71" s="63"/>
      <c r="J71" s="63"/>
      <c r="K71" s="63">
        <v>5</v>
      </c>
      <c r="L71" s="50">
        <v>154.80000000000001</v>
      </c>
      <c r="M71" s="18"/>
      <c r="N71" s="18"/>
      <c r="O71" s="22" t="s">
        <v>329</v>
      </c>
    </row>
    <row r="72" spans="1:15" ht="15" customHeight="1">
      <c r="A72" s="11" t="s">
        <v>291</v>
      </c>
      <c r="B72" s="57" t="s">
        <v>330</v>
      </c>
      <c r="C72" s="55" t="s">
        <v>331</v>
      </c>
      <c r="D72" s="59"/>
      <c r="E72" s="11" t="s">
        <v>67</v>
      </c>
      <c r="F72" s="67">
        <v>1</v>
      </c>
      <c r="G72" s="14" t="s">
        <v>312</v>
      </c>
      <c r="H72" s="63"/>
      <c r="I72" s="63"/>
      <c r="J72" s="63"/>
      <c r="K72" s="63">
        <v>1</v>
      </c>
      <c r="L72" s="50">
        <v>10</v>
      </c>
      <c r="M72" s="18"/>
      <c r="N72" s="18"/>
      <c r="O72" s="22" t="s">
        <v>332</v>
      </c>
    </row>
    <row r="73" spans="1:15" ht="15" customHeight="1">
      <c r="A73" s="11" t="s">
        <v>291</v>
      </c>
      <c r="B73" s="57" t="s">
        <v>333</v>
      </c>
      <c r="C73" s="55" t="s">
        <v>195</v>
      </c>
      <c r="D73" s="59"/>
      <c r="E73" s="11" t="s">
        <v>67</v>
      </c>
      <c r="F73" s="67">
        <v>1</v>
      </c>
      <c r="G73" s="14" t="s">
        <v>334</v>
      </c>
      <c r="H73" s="63"/>
      <c r="I73" s="63"/>
      <c r="J73" s="63"/>
      <c r="K73" s="63">
        <v>2</v>
      </c>
      <c r="L73" s="50">
        <v>155</v>
      </c>
      <c r="M73" s="18"/>
      <c r="N73" s="18"/>
      <c r="O73" s="22" t="s">
        <v>335</v>
      </c>
    </row>
    <row r="74" spans="1:15" ht="15" customHeight="1">
      <c r="A74" s="11" t="s">
        <v>291</v>
      </c>
      <c r="B74" s="57" t="s">
        <v>336</v>
      </c>
      <c r="C74" s="55" t="s">
        <v>104</v>
      </c>
      <c r="D74" s="59"/>
      <c r="E74" s="11" t="s">
        <v>67</v>
      </c>
      <c r="F74" s="67">
        <v>1</v>
      </c>
      <c r="G74" s="14" t="s">
        <v>337</v>
      </c>
      <c r="H74" s="63"/>
      <c r="I74" s="63"/>
      <c r="J74" s="69"/>
      <c r="K74" s="69">
        <v>0.5</v>
      </c>
      <c r="L74" s="50">
        <v>50</v>
      </c>
      <c r="M74" s="18"/>
      <c r="N74" s="18"/>
      <c r="O74" s="22" t="s">
        <v>338</v>
      </c>
    </row>
    <row r="75" spans="1:15" ht="15" customHeight="1">
      <c r="A75" s="11" t="s">
        <v>291</v>
      </c>
      <c r="B75" s="57" t="s">
        <v>339</v>
      </c>
      <c r="C75" s="55" t="s">
        <v>340</v>
      </c>
      <c r="D75" s="59"/>
      <c r="E75" s="11" t="s">
        <v>67</v>
      </c>
      <c r="F75" s="67">
        <v>1</v>
      </c>
      <c r="G75" s="14" t="s">
        <v>341</v>
      </c>
      <c r="H75" s="63"/>
      <c r="I75" s="63"/>
      <c r="J75" s="69"/>
      <c r="K75" s="69">
        <v>2.5</v>
      </c>
      <c r="L75" s="50">
        <v>193</v>
      </c>
      <c r="M75" s="18"/>
      <c r="N75" s="18"/>
      <c r="O75" s="22" t="s">
        <v>342</v>
      </c>
    </row>
    <row r="76" spans="1:15" ht="15" customHeight="1">
      <c r="A76" s="11" t="s">
        <v>291</v>
      </c>
      <c r="B76" s="57" t="s">
        <v>343</v>
      </c>
      <c r="C76" s="55" t="s">
        <v>74</v>
      </c>
      <c r="D76" s="59"/>
      <c r="E76" s="11" t="s">
        <v>67</v>
      </c>
      <c r="F76" s="67">
        <v>1</v>
      </c>
      <c r="G76" s="14" t="s">
        <v>344</v>
      </c>
      <c r="H76" s="63"/>
      <c r="I76" s="63"/>
      <c r="J76" s="63"/>
      <c r="K76" s="63">
        <v>1</v>
      </c>
      <c r="L76" s="50">
        <v>19</v>
      </c>
      <c r="M76" s="18"/>
      <c r="N76" s="18"/>
      <c r="O76" s="22" t="s">
        <v>345</v>
      </c>
    </row>
    <row r="77" spans="1:15" ht="15" customHeight="1">
      <c r="A77" s="11" t="s">
        <v>291</v>
      </c>
      <c r="B77" s="57" t="s">
        <v>346</v>
      </c>
      <c r="C77" s="55" t="s">
        <v>150</v>
      </c>
      <c r="D77" s="59"/>
      <c r="E77" s="11" t="s">
        <v>67</v>
      </c>
      <c r="F77" s="67">
        <v>1</v>
      </c>
      <c r="G77" s="14" t="s">
        <v>347</v>
      </c>
      <c r="H77" s="63"/>
      <c r="I77" s="63"/>
      <c r="J77" s="69"/>
      <c r="K77" s="69">
        <v>2.5</v>
      </c>
      <c r="L77" s="50">
        <v>145</v>
      </c>
      <c r="M77" s="18"/>
      <c r="N77" s="18"/>
      <c r="O77" s="22" t="s">
        <v>348</v>
      </c>
    </row>
    <row r="78" spans="1:15" ht="15" customHeight="1">
      <c r="A78" s="11" t="s">
        <v>291</v>
      </c>
      <c r="B78" s="57" t="s">
        <v>349</v>
      </c>
      <c r="C78" s="55" t="s">
        <v>154</v>
      </c>
      <c r="D78" s="59"/>
      <c r="E78" s="11" t="s">
        <v>67</v>
      </c>
      <c r="F78" s="67">
        <v>1</v>
      </c>
      <c r="G78" s="14" t="s">
        <v>347</v>
      </c>
      <c r="H78" s="63"/>
      <c r="I78" s="63"/>
      <c r="J78" s="69"/>
      <c r="K78" s="69">
        <v>2.5</v>
      </c>
      <c r="L78" s="50">
        <v>78.599999999999994</v>
      </c>
      <c r="M78" s="18"/>
      <c r="N78" s="18"/>
      <c r="O78" s="22" t="s">
        <v>350</v>
      </c>
    </row>
    <row r="79" spans="1:15" ht="15" customHeight="1">
      <c r="A79" s="11" t="s">
        <v>291</v>
      </c>
      <c r="B79" s="57" t="s">
        <v>351</v>
      </c>
      <c r="C79" s="55" t="s">
        <v>352</v>
      </c>
      <c r="D79" s="59"/>
      <c r="E79" s="11" t="s">
        <v>67</v>
      </c>
      <c r="F79" s="67">
        <v>1</v>
      </c>
      <c r="G79" s="14" t="s">
        <v>347</v>
      </c>
      <c r="H79" s="63"/>
      <c r="I79" s="63"/>
      <c r="J79" s="69"/>
      <c r="K79" s="69">
        <v>2.5</v>
      </c>
      <c r="L79" s="50">
        <v>47.6</v>
      </c>
      <c r="M79" s="18"/>
      <c r="N79" s="18"/>
      <c r="O79" s="22" t="s">
        <v>353</v>
      </c>
    </row>
    <row r="80" spans="1:15" ht="15" customHeight="1">
      <c r="A80" s="11" t="s">
        <v>291</v>
      </c>
      <c r="B80" s="57" t="s">
        <v>354</v>
      </c>
      <c r="C80" s="55" t="s">
        <v>355</v>
      </c>
      <c r="D80" s="59"/>
      <c r="E80" s="11" t="s">
        <v>67</v>
      </c>
      <c r="F80" s="67">
        <v>1</v>
      </c>
      <c r="G80" s="14" t="s">
        <v>347</v>
      </c>
      <c r="H80" s="63"/>
      <c r="I80" s="63"/>
      <c r="J80" s="69"/>
      <c r="K80" s="69">
        <v>2.5</v>
      </c>
      <c r="L80" s="50">
        <v>47.6</v>
      </c>
      <c r="M80" s="18"/>
      <c r="N80" s="18"/>
      <c r="O80" s="22" t="s">
        <v>356</v>
      </c>
    </row>
    <row r="81" spans="1:15" ht="24" customHeight="1">
      <c r="A81" s="11" t="s">
        <v>358</v>
      </c>
      <c r="B81" s="57" t="s">
        <v>359</v>
      </c>
      <c r="C81" s="55" t="s">
        <v>360</v>
      </c>
      <c r="D81" s="59"/>
      <c r="E81" s="11" t="s">
        <v>67</v>
      </c>
      <c r="F81" s="67">
        <v>1</v>
      </c>
      <c r="G81" s="14" t="s">
        <v>361</v>
      </c>
      <c r="H81" s="63"/>
      <c r="I81" s="63"/>
      <c r="J81" s="63"/>
      <c r="K81" s="63">
        <v>50</v>
      </c>
      <c r="L81" s="50">
        <v>115</v>
      </c>
      <c r="M81" s="18"/>
      <c r="N81" s="17" t="s">
        <v>362</v>
      </c>
      <c r="O81" s="22" t="s">
        <v>294</v>
      </c>
    </row>
    <row r="82" spans="1:15" ht="24" customHeight="1">
      <c r="A82" s="11" t="s">
        <v>358</v>
      </c>
      <c r="B82" s="57" t="s">
        <v>363</v>
      </c>
      <c r="C82" s="55" t="s">
        <v>364</v>
      </c>
      <c r="D82" s="59"/>
      <c r="E82" s="11" t="s">
        <v>67</v>
      </c>
      <c r="F82" s="67">
        <v>1</v>
      </c>
      <c r="G82" s="14" t="s">
        <v>361</v>
      </c>
      <c r="H82" s="63"/>
      <c r="I82" s="63"/>
      <c r="J82" s="63"/>
      <c r="K82" s="63">
        <v>50</v>
      </c>
      <c r="L82" s="50">
        <v>115</v>
      </c>
      <c r="M82" s="18"/>
      <c r="N82" s="17" t="s">
        <v>362</v>
      </c>
      <c r="O82" s="22" t="s">
        <v>294</v>
      </c>
    </row>
    <row r="83" spans="1:15" ht="15" customHeight="1">
      <c r="A83" s="11" t="s">
        <v>358</v>
      </c>
      <c r="B83" s="57" t="s">
        <v>365</v>
      </c>
      <c r="C83" s="55" t="s">
        <v>366</v>
      </c>
      <c r="D83" s="59"/>
      <c r="E83" s="11" t="s">
        <v>67</v>
      </c>
      <c r="F83" s="67">
        <v>1</v>
      </c>
      <c r="G83" s="14" t="s">
        <v>367</v>
      </c>
      <c r="H83" s="63"/>
      <c r="I83" s="63"/>
      <c r="J83" s="63"/>
      <c r="K83" s="63">
        <v>4</v>
      </c>
      <c r="L83" s="50">
        <v>190</v>
      </c>
      <c r="M83" s="18"/>
      <c r="N83" s="17" t="s">
        <v>229</v>
      </c>
      <c r="O83" s="22" t="s">
        <v>304</v>
      </c>
    </row>
    <row r="84" spans="1:15" ht="15" customHeight="1">
      <c r="A84" s="11" t="s">
        <v>358</v>
      </c>
      <c r="B84" s="57" t="s">
        <v>368</v>
      </c>
      <c r="C84" s="55" t="s">
        <v>369</v>
      </c>
      <c r="D84" s="59"/>
      <c r="E84" s="11" t="s">
        <v>67</v>
      </c>
      <c r="F84" s="67">
        <v>1</v>
      </c>
      <c r="G84" s="14" t="s">
        <v>370</v>
      </c>
      <c r="H84" s="63"/>
      <c r="I84" s="63"/>
      <c r="J84" s="63"/>
      <c r="K84" s="63">
        <v>4</v>
      </c>
      <c r="L84" s="50">
        <v>260</v>
      </c>
      <c r="M84" s="18"/>
      <c r="N84" s="17" t="s">
        <v>196</v>
      </c>
      <c r="O84" s="22" t="s">
        <v>335</v>
      </c>
    </row>
    <row r="85" spans="1:15" ht="15" customHeight="1">
      <c r="A85" s="11" t="s">
        <v>358</v>
      </c>
      <c r="B85" s="57" t="s">
        <v>371</v>
      </c>
      <c r="C85" s="55" t="s">
        <v>372</v>
      </c>
      <c r="D85" s="59"/>
      <c r="E85" s="11" t="s">
        <v>67</v>
      </c>
      <c r="F85" s="67">
        <v>1</v>
      </c>
      <c r="G85" s="14" t="s">
        <v>370</v>
      </c>
      <c r="H85" s="63"/>
      <c r="I85" s="63"/>
      <c r="J85" s="63"/>
      <c r="K85" s="63">
        <v>4</v>
      </c>
      <c r="L85" s="50">
        <v>260</v>
      </c>
      <c r="M85" s="18"/>
      <c r="N85" s="17" t="s">
        <v>196</v>
      </c>
      <c r="O85" s="22" t="s">
        <v>335</v>
      </c>
    </row>
    <row r="86" spans="1:15" ht="15" customHeight="1">
      <c r="A86" s="11" t="s">
        <v>358</v>
      </c>
      <c r="B86" s="57" t="s">
        <v>373</v>
      </c>
      <c r="C86" s="55" t="s">
        <v>374</v>
      </c>
      <c r="D86" s="59"/>
      <c r="E86" s="11" t="s">
        <v>67</v>
      </c>
      <c r="F86" s="67">
        <v>1</v>
      </c>
      <c r="G86" s="14" t="s">
        <v>375</v>
      </c>
      <c r="H86" s="63"/>
      <c r="I86" s="63"/>
      <c r="J86" s="63"/>
      <c r="K86" s="63">
        <v>12</v>
      </c>
      <c r="L86" s="50">
        <v>780</v>
      </c>
      <c r="M86" s="18"/>
      <c r="N86" s="17" t="s">
        <v>376</v>
      </c>
      <c r="O86" s="22" t="s">
        <v>377</v>
      </c>
    </row>
    <row r="87" spans="1:15" ht="15" customHeight="1">
      <c r="A87" s="11" t="s">
        <v>358</v>
      </c>
      <c r="B87" s="57" t="s">
        <v>378</v>
      </c>
      <c r="C87" s="55" t="s">
        <v>379</v>
      </c>
      <c r="D87" s="59"/>
      <c r="E87" s="11" t="s">
        <v>67</v>
      </c>
      <c r="F87" s="67">
        <v>1</v>
      </c>
      <c r="G87" s="14" t="s">
        <v>375</v>
      </c>
      <c r="H87" s="63"/>
      <c r="I87" s="63"/>
      <c r="J87" s="63"/>
      <c r="K87" s="63">
        <v>12</v>
      </c>
      <c r="L87" s="50">
        <v>780</v>
      </c>
      <c r="M87" s="18"/>
      <c r="N87" s="17" t="s">
        <v>376</v>
      </c>
      <c r="O87" s="22" t="s">
        <v>377</v>
      </c>
    </row>
    <row r="88" spans="1:15" ht="15" customHeight="1">
      <c r="A88" s="11" t="s">
        <v>358</v>
      </c>
      <c r="B88" s="57" t="s">
        <v>380</v>
      </c>
      <c r="C88" s="55" t="s">
        <v>381</v>
      </c>
      <c r="D88" s="59"/>
      <c r="E88" s="11" t="s">
        <v>67</v>
      </c>
      <c r="F88" s="67">
        <v>1</v>
      </c>
      <c r="G88" s="14" t="s">
        <v>382</v>
      </c>
      <c r="H88" s="63"/>
      <c r="I88" s="63"/>
      <c r="J88" s="63"/>
      <c r="K88" s="62">
        <v>15</v>
      </c>
      <c r="L88" s="50">
        <v>88</v>
      </c>
      <c r="M88" s="18"/>
      <c r="N88" s="17" t="s">
        <v>138</v>
      </c>
      <c r="O88" s="22" t="s">
        <v>383</v>
      </c>
    </row>
    <row r="89" spans="1:15" ht="15" customHeight="1">
      <c r="A89" s="11" t="s">
        <v>358</v>
      </c>
      <c r="B89" s="57" t="s">
        <v>384</v>
      </c>
      <c r="C89" s="55" t="s">
        <v>385</v>
      </c>
      <c r="D89" s="59"/>
      <c r="E89" s="11" t="s">
        <v>67</v>
      </c>
      <c r="F89" s="67">
        <v>1</v>
      </c>
      <c r="G89" s="14" t="s">
        <v>386</v>
      </c>
      <c r="H89" s="63"/>
      <c r="I89" s="63"/>
      <c r="J89" s="63"/>
      <c r="K89" s="62">
        <v>3</v>
      </c>
      <c r="L89" s="50">
        <v>393</v>
      </c>
      <c r="M89" s="18"/>
      <c r="N89" s="17" t="s">
        <v>176</v>
      </c>
      <c r="O89" s="22" t="s">
        <v>387</v>
      </c>
    </row>
    <row r="90" spans="1:15" ht="15" customHeight="1">
      <c r="A90" s="11" t="s">
        <v>358</v>
      </c>
      <c r="B90" s="57" t="s">
        <v>388</v>
      </c>
      <c r="C90" s="55" t="s">
        <v>389</v>
      </c>
      <c r="D90" s="59"/>
      <c r="E90" s="11" t="s">
        <v>67</v>
      </c>
      <c r="F90" s="67">
        <v>1</v>
      </c>
      <c r="G90" s="14" t="s">
        <v>390</v>
      </c>
      <c r="H90" s="63"/>
      <c r="I90" s="63"/>
      <c r="J90" s="63"/>
      <c r="K90" s="62">
        <v>1</v>
      </c>
      <c r="L90" s="50">
        <v>102</v>
      </c>
      <c r="M90" s="18"/>
      <c r="N90" s="17" t="s">
        <v>391</v>
      </c>
      <c r="O90" s="22" t="s">
        <v>392</v>
      </c>
    </row>
    <row r="91" spans="1:15" ht="15" customHeight="1">
      <c r="A91" s="11" t="s">
        <v>358</v>
      </c>
      <c r="B91" s="57" t="s">
        <v>393</v>
      </c>
      <c r="C91" s="55" t="s">
        <v>394</v>
      </c>
      <c r="D91" s="59"/>
      <c r="E91" s="11" t="s">
        <v>67</v>
      </c>
      <c r="F91" s="67">
        <v>1</v>
      </c>
      <c r="G91" s="14" t="s">
        <v>395</v>
      </c>
      <c r="H91" s="63"/>
      <c r="I91" s="63"/>
      <c r="J91" s="63"/>
      <c r="K91" s="62">
        <v>6</v>
      </c>
      <c r="L91" s="50">
        <v>257</v>
      </c>
      <c r="M91" s="18"/>
      <c r="N91" s="17" t="s">
        <v>118</v>
      </c>
      <c r="O91" s="22" t="s">
        <v>396</v>
      </c>
    </row>
    <row r="92" spans="1:15" ht="15" customHeight="1">
      <c r="A92" s="11" t="s">
        <v>358</v>
      </c>
      <c r="B92" s="57" t="s">
        <v>397</v>
      </c>
      <c r="C92" s="55" t="s">
        <v>398</v>
      </c>
      <c r="D92" s="59"/>
      <c r="E92" s="11" t="s">
        <v>67</v>
      </c>
      <c r="F92" s="67">
        <v>1</v>
      </c>
      <c r="G92" s="14" t="s">
        <v>312</v>
      </c>
      <c r="H92" s="63"/>
      <c r="I92" s="63"/>
      <c r="J92" s="63"/>
      <c r="K92" s="62">
        <v>1</v>
      </c>
      <c r="L92" s="50">
        <v>63</v>
      </c>
      <c r="M92" s="18"/>
      <c r="N92" s="17" t="s">
        <v>245</v>
      </c>
      <c r="O92" s="22" t="s">
        <v>313</v>
      </c>
    </row>
    <row r="93" spans="1:15" ht="15" customHeight="1">
      <c r="A93" s="11" t="s">
        <v>358</v>
      </c>
      <c r="B93" s="57" t="s">
        <v>399</v>
      </c>
      <c r="C93" s="55" t="s">
        <v>400</v>
      </c>
      <c r="D93" s="59"/>
      <c r="E93" s="11" t="s">
        <v>67</v>
      </c>
      <c r="F93" s="67">
        <v>1</v>
      </c>
      <c r="G93" s="14" t="s">
        <v>401</v>
      </c>
      <c r="H93" s="63"/>
      <c r="I93" s="63"/>
      <c r="J93" s="63"/>
      <c r="K93" s="62">
        <v>5</v>
      </c>
      <c r="L93" s="50">
        <v>22.8</v>
      </c>
      <c r="M93" s="18"/>
      <c r="N93" s="17" t="s">
        <v>402</v>
      </c>
      <c r="O93" s="22" t="s">
        <v>315</v>
      </c>
    </row>
    <row r="94" spans="1:15" ht="15" customHeight="1">
      <c r="A94" s="11" t="s">
        <v>358</v>
      </c>
      <c r="B94" s="57" t="s">
        <v>403</v>
      </c>
      <c r="C94" s="55" t="s">
        <v>404</v>
      </c>
      <c r="D94" s="59"/>
      <c r="E94" s="11" t="s">
        <v>67</v>
      </c>
      <c r="F94" s="67">
        <v>1</v>
      </c>
      <c r="G94" s="14" t="s">
        <v>405</v>
      </c>
      <c r="H94" s="63"/>
      <c r="I94" s="63"/>
      <c r="J94" s="63"/>
      <c r="K94" s="62">
        <v>2</v>
      </c>
      <c r="L94" s="50">
        <v>25</v>
      </c>
      <c r="M94" s="18"/>
      <c r="N94" s="17" t="s">
        <v>187</v>
      </c>
      <c r="O94" s="22" t="s">
        <v>406</v>
      </c>
    </row>
    <row r="95" spans="1:15" ht="15" customHeight="1">
      <c r="A95" s="11" t="s">
        <v>358</v>
      </c>
      <c r="B95" s="57" t="s">
        <v>407</v>
      </c>
      <c r="C95" s="55" t="s">
        <v>408</v>
      </c>
      <c r="D95" s="59"/>
      <c r="E95" s="11" t="s">
        <v>67</v>
      </c>
      <c r="F95" s="67">
        <v>1</v>
      </c>
      <c r="G95" s="14" t="s">
        <v>405</v>
      </c>
      <c r="H95" s="63"/>
      <c r="I95" s="63"/>
      <c r="J95" s="63"/>
      <c r="K95" s="62">
        <v>2</v>
      </c>
      <c r="L95" s="50">
        <v>270</v>
      </c>
      <c r="M95" s="18"/>
      <c r="N95" s="17" t="s">
        <v>64</v>
      </c>
      <c r="O95" s="22" t="s">
        <v>324</v>
      </c>
    </row>
    <row r="96" spans="1:15" ht="15" customHeight="1">
      <c r="A96" s="11" t="s">
        <v>358</v>
      </c>
      <c r="B96" s="57" t="s">
        <v>409</v>
      </c>
      <c r="C96" s="55" t="s">
        <v>410</v>
      </c>
      <c r="D96" s="59"/>
      <c r="E96" s="11" t="s">
        <v>67</v>
      </c>
      <c r="F96" s="67">
        <v>1</v>
      </c>
      <c r="G96" s="14" t="s">
        <v>312</v>
      </c>
      <c r="H96" s="63"/>
      <c r="I96" s="63"/>
      <c r="J96" s="63"/>
      <c r="K96" s="62">
        <v>1</v>
      </c>
      <c r="L96" s="50">
        <v>18.5</v>
      </c>
      <c r="M96" s="18"/>
      <c r="N96" s="17" t="s">
        <v>230</v>
      </c>
      <c r="O96" s="22" t="s">
        <v>327</v>
      </c>
    </row>
    <row r="97" spans="1:15" ht="15" customHeight="1">
      <c r="A97" s="11" t="s">
        <v>358</v>
      </c>
      <c r="B97" s="57" t="s">
        <v>411</v>
      </c>
      <c r="C97" s="55" t="s">
        <v>412</v>
      </c>
      <c r="D97" s="59"/>
      <c r="E97" s="11" t="s">
        <v>67</v>
      </c>
      <c r="F97" s="67">
        <v>1</v>
      </c>
      <c r="G97" s="14" t="s">
        <v>405</v>
      </c>
      <c r="H97" s="63"/>
      <c r="I97" s="63"/>
      <c r="J97" s="63"/>
      <c r="K97" s="62">
        <v>2</v>
      </c>
      <c r="L97" s="50">
        <v>84.5</v>
      </c>
      <c r="M97" s="18"/>
      <c r="N97" s="17" t="s">
        <v>275</v>
      </c>
      <c r="O97" s="22" t="s">
        <v>329</v>
      </c>
    </row>
    <row r="98" spans="1:15" ht="15" customHeight="1">
      <c r="A98" s="11" t="s">
        <v>358</v>
      </c>
      <c r="B98" s="57" t="s">
        <v>413</v>
      </c>
      <c r="C98" s="55" t="s">
        <v>414</v>
      </c>
      <c r="D98" s="59"/>
      <c r="E98" s="11" t="s">
        <v>67</v>
      </c>
      <c r="F98" s="67">
        <v>1</v>
      </c>
      <c r="G98" s="14" t="s">
        <v>415</v>
      </c>
      <c r="H98" s="63"/>
      <c r="I98" s="63"/>
      <c r="J98" s="63"/>
      <c r="K98" s="62">
        <v>10</v>
      </c>
      <c r="L98" s="50">
        <v>63</v>
      </c>
      <c r="M98" s="18"/>
      <c r="N98" s="17" t="s">
        <v>416</v>
      </c>
      <c r="O98" s="22" t="s">
        <v>332</v>
      </c>
    </row>
    <row r="99" spans="1:15" ht="15" customHeight="1">
      <c r="A99" s="11" t="s">
        <v>358</v>
      </c>
      <c r="B99" s="57" t="s">
        <v>417</v>
      </c>
      <c r="C99" s="55" t="s">
        <v>418</v>
      </c>
      <c r="D99" s="59"/>
      <c r="E99" s="11" t="s">
        <v>67</v>
      </c>
      <c r="F99" s="67">
        <v>1</v>
      </c>
      <c r="G99" s="14" t="s">
        <v>419</v>
      </c>
      <c r="H99" s="63"/>
      <c r="I99" s="63"/>
      <c r="J99" s="63"/>
      <c r="K99" s="62">
        <v>5</v>
      </c>
      <c r="L99" s="50">
        <v>33</v>
      </c>
      <c r="M99" s="18"/>
      <c r="N99" s="17" t="s">
        <v>255</v>
      </c>
      <c r="O99" s="22" t="s">
        <v>420</v>
      </c>
    </row>
    <row r="100" spans="1:15" ht="15" customHeight="1">
      <c r="A100" s="11" t="s">
        <v>358</v>
      </c>
      <c r="B100" s="57" t="s">
        <v>421</v>
      </c>
      <c r="C100" s="55" t="s">
        <v>422</v>
      </c>
      <c r="D100" s="59"/>
      <c r="E100" s="11" t="s">
        <v>67</v>
      </c>
      <c r="F100" s="67">
        <v>1</v>
      </c>
      <c r="G100" s="14" t="s">
        <v>344</v>
      </c>
      <c r="H100" s="63"/>
      <c r="I100" s="63"/>
      <c r="J100" s="63"/>
      <c r="K100" s="62">
        <v>1</v>
      </c>
      <c r="L100" s="50">
        <v>19</v>
      </c>
      <c r="M100" s="18"/>
      <c r="N100" s="17" t="s">
        <v>70</v>
      </c>
      <c r="O100" s="22" t="s">
        <v>345</v>
      </c>
    </row>
    <row r="101" spans="1:15" ht="15" customHeight="1">
      <c r="A101" s="11" t="s">
        <v>358</v>
      </c>
      <c r="B101" s="57" t="s">
        <v>423</v>
      </c>
      <c r="C101" s="55" t="s">
        <v>424</v>
      </c>
      <c r="D101" s="59"/>
      <c r="E101" s="11" t="s">
        <v>67</v>
      </c>
      <c r="F101" s="67">
        <v>1</v>
      </c>
      <c r="G101" s="14" t="s">
        <v>425</v>
      </c>
      <c r="H101" s="63"/>
      <c r="I101" s="63"/>
      <c r="J101" s="63"/>
      <c r="K101" s="62">
        <v>2</v>
      </c>
      <c r="L101" s="50">
        <v>11</v>
      </c>
      <c r="M101" s="18"/>
      <c r="N101" s="17" t="s">
        <v>426</v>
      </c>
      <c r="O101" s="22" t="s">
        <v>427</v>
      </c>
    </row>
    <row r="102" spans="1:15" ht="24" customHeight="1">
      <c r="A102" s="11" t="s">
        <v>358</v>
      </c>
      <c r="B102" s="57" t="s">
        <v>428</v>
      </c>
      <c r="C102" s="55" t="s">
        <v>429</v>
      </c>
      <c r="D102" s="59"/>
      <c r="E102" s="11" t="s">
        <v>67</v>
      </c>
      <c r="F102" s="67">
        <v>1</v>
      </c>
      <c r="G102" s="14" t="s">
        <v>361</v>
      </c>
      <c r="H102" s="63"/>
      <c r="I102" s="63"/>
      <c r="J102" s="63"/>
      <c r="K102" s="62">
        <v>50</v>
      </c>
      <c r="L102" s="50">
        <v>220</v>
      </c>
      <c r="M102" s="18"/>
      <c r="N102" s="17" t="s">
        <v>80</v>
      </c>
      <c r="O102" s="22" t="s">
        <v>294</v>
      </c>
    </row>
    <row r="103" spans="1:15" ht="15" customHeight="1">
      <c r="A103" s="11" t="s">
        <v>358</v>
      </c>
      <c r="B103" s="57" t="s">
        <v>430</v>
      </c>
      <c r="C103" s="55" t="s">
        <v>431</v>
      </c>
      <c r="D103" s="59"/>
      <c r="E103" s="11" t="s">
        <v>67</v>
      </c>
      <c r="F103" s="67">
        <v>1</v>
      </c>
      <c r="G103" s="14" t="s">
        <v>361</v>
      </c>
      <c r="H103" s="63"/>
      <c r="I103" s="63"/>
      <c r="J103" s="63"/>
      <c r="K103" s="62">
        <v>50</v>
      </c>
      <c r="L103" s="50">
        <v>245</v>
      </c>
      <c r="M103" s="18"/>
      <c r="N103" s="17" t="s">
        <v>80</v>
      </c>
      <c r="O103" s="22"/>
    </row>
    <row r="104" spans="1:15" ht="15" customHeight="1">
      <c r="A104" s="11" t="s">
        <v>358</v>
      </c>
      <c r="B104" s="57" t="s">
        <v>432</v>
      </c>
      <c r="C104" s="55" t="s">
        <v>433</v>
      </c>
      <c r="D104" s="59"/>
      <c r="E104" s="11" t="s">
        <v>67</v>
      </c>
      <c r="F104" s="67">
        <v>1</v>
      </c>
      <c r="G104" s="14" t="s">
        <v>434</v>
      </c>
      <c r="H104" s="63"/>
      <c r="I104" s="63"/>
      <c r="J104" s="63"/>
      <c r="K104" s="62">
        <v>6</v>
      </c>
      <c r="L104" s="50">
        <v>257</v>
      </c>
      <c r="M104" s="18"/>
      <c r="N104" s="17" t="s">
        <v>105</v>
      </c>
      <c r="O104" s="22" t="s">
        <v>435</v>
      </c>
    </row>
    <row r="105" spans="1:15" ht="15" customHeight="1">
      <c r="A105" s="11" t="s">
        <v>358</v>
      </c>
      <c r="B105" s="57" t="s">
        <v>436</v>
      </c>
      <c r="C105" s="55" t="s">
        <v>437</v>
      </c>
      <c r="D105" s="59"/>
      <c r="E105" s="11" t="s">
        <v>67</v>
      </c>
      <c r="F105" s="67">
        <v>1</v>
      </c>
      <c r="G105" s="14" t="s">
        <v>434</v>
      </c>
      <c r="H105" s="63"/>
      <c r="I105" s="63"/>
      <c r="J105" s="63"/>
      <c r="K105" s="62">
        <v>6</v>
      </c>
      <c r="L105" s="50">
        <v>428.5</v>
      </c>
      <c r="M105" s="18"/>
      <c r="N105" s="17" t="s">
        <v>155</v>
      </c>
      <c r="O105" s="22" t="s">
        <v>350</v>
      </c>
    </row>
    <row r="106" spans="1:15" ht="15" customHeight="1">
      <c r="A106" s="11" t="s">
        <v>358</v>
      </c>
      <c r="B106" s="57" t="s">
        <v>438</v>
      </c>
      <c r="C106" s="55" t="s">
        <v>439</v>
      </c>
      <c r="D106" s="59"/>
      <c r="E106" s="11" t="s">
        <v>67</v>
      </c>
      <c r="F106" s="67">
        <v>1</v>
      </c>
      <c r="G106" s="14" t="s">
        <v>434</v>
      </c>
      <c r="H106" s="63"/>
      <c r="I106" s="63"/>
      <c r="J106" s="63"/>
      <c r="K106" s="62">
        <v>6</v>
      </c>
      <c r="L106" s="50">
        <v>90.5</v>
      </c>
      <c r="M106" s="18"/>
      <c r="N106" s="17" t="s">
        <v>440</v>
      </c>
      <c r="O106" s="22" t="s">
        <v>441</v>
      </c>
    </row>
    <row r="107" spans="1:15" ht="15" customHeight="1">
      <c r="A107" s="11" t="s">
        <v>358</v>
      </c>
      <c r="B107" s="57" t="s">
        <v>442</v>
      </c>
      <c r="C107" s="55" t="s">
        <v>443</v>
      </c>
      <c r="D107" s="59"/>
      <c r="E107" s="11" t="s">
        <v>67</v>
      </c>
      <c r="F107" s="67">
        <v>1</v>
      </c>
      <c r="G107" s="14" t="s">
        <v>444</v>
      </c>
      <c r="H107" s="63"/>
      <c r="I107" s="63"/>
      <c r="J107" s="63"/>
      <c r="K107" s="62">
        <v>2</v>
      </c>
      <c r="L107" s="50">
        <v>7</v>
      </c>
      <c r="M107" s="18"/>
      <c r="N107" s="17" t="s">
        <v>271</v>
      </c>
      <c r="O107" s="22" t="s">
        <v>445</v>
      </c>
    </row>
    <row r="108" spans="1:15" ht="25.5" customHeight="1">
      <c r="A108" s="11" t="s">
        <v>446</v>
      </c>
      <c r="B108" s="57"/>
      <c r="C108" s="55" t="s">
        <v>447</v>
      </c>
      <c r="D108" s="59"/>
      <c r="E108" s="11" t="s">
        <v>67</v>
      </c>
      <c r="F108" s="67">
        <v>1</v>
      </c>
      <c r="G108" s="14" t="s">
        <v>448</v>
      </c>
      <c r="H108" s="63"/>
      <c r="I108" s="63"/>
      <c r="J108" s="63"/>
      <c r="K108" s="62">
        <f t="shared" ref="K67:K113" si="2">SUM(I108*J108)</f>
        <v>0</v>
      </c>
      <c r="L108" s="50">
        <v>29.17</v>
      </c>
      <c r="M108" s="18"/>
      <c r="N108" s="18"/>
      <c r="O108" s="22" t="s">
        <v>449</v>
      </c>
    </row>
    <row r="109" spans="1:15" ht="25.5" customHeight="1">
      <c r="A109" s="11" t="s">
        <v>446</v>
      </c>
      <c r="B109" s="57"/>
      <c r="C109" s="55" t="s">
        <v>450</v>
      </c>
      <c r="D109" s="59"/>
      <c r="E109" s="11"/>
      <c r="F109" s="67">
        <v>1</v>
      </c>
      <c r="G109" s="14" t="s">
        <v>451</v>
      </c>
      <c r="H109" s="63"/>
      <c r="I109" s="63"/>
      <c r="J109" s="63"/>
      <c r="K109" s="62">
        <f t="shared" si="2"/>
        <v>0</v>
      </c>
      <c r="L109" s="50"/>
      <c r="M109" s="18"/>
      <c r="N109" s="18"/>
      <c r="O109" s="22" t="s">
        <v>452</v>
      </c>
    </row>
    <row r="110" spans="1:15" ht="25.5" customHeight="1">
      <c r="A110" s="11" t="s">
        <v>446</v>
      </c>
      <c r="B110" s="57"/>
      <c r="C110" s="55" t="s">
        <v>453</v>
      </c>
      <c r="D110" s="59"/>
      <c r="E110" s="11"/>
      <c r="F110" s="67">
        <v>1</v>
      </c>
      <c r="G110" s="14" t="s">
        <v>454</v>
      </c>
      <c r="H110" s="63"/>
      <c r="I110" s="63"/>
      <c r="J110" s="63"/>
      <c r="K110" s="62">
        <f t="shared" si="2"/>
        <v>0</v>
      </c>
      <c r="L110" s="50"/>
      <c r="M110" s="18"/>
      <c r="N110" s="18"/>
      <c r="O110" s="22" t="s">
        <v>455</v>
      </c>
    </row>
    <row r="111" spans="1:15" ht="15" customHeight="1">
      <c r="A111" s="11" t="s">
        <v>446</v>
      </c>
      <c r="B111" s="57"/>
      <c r="C111" s="55" t="s">
        <v>456</v>
      </c>
      <c r="D111" s="59"/>
      <c r="E111" s="11" t="s">
        <v>67</v>
      </c>
      <c r="F111" s="67">
        <v>1</v>
      </c>
      <c r="G111" s="14" t="s">
        <v>457</v>
      </c>
      <c r="H111" s="63"/>
      <c r="I111" s="63"/>
      <c r="J111" s="63"/>
      <c r="K111" s="62">
        <f t="shared" si="2"/>
        <v>0</v>
      </c>
      <c r="L111" s="50">
        <v>0.14000000000000001</v>
      </c>
      <c r="M111" s="18"/>
      <c r="N111" s="18"/>
      <c r="O111" s="22" t="s">
        <v>458</v>
      </c>
    </row>
    <row r="112" spans="1:15" ht="15" customHeight="1">
      <c r="A112" s="11" t="s">
        <v>446</v>
      </c>
      <c r="B112" s="57"/>
      <c r="C112" s="55" t="s">
        <v>459</v>
      </c>
      <c r="D112" s="59"/>
      <c r="E112" s="11"/>
      <c r="F112" s="67">
        <v>1</v>
      </c>
      <c r="G112" s="14" t="s">
        <v>460</v>
      </c>
      <c r="H112" s="63"/>
      <c r="I112" s="63"/>
      <c r="J112" s="63"/>
      <c r="K112" s="62">
        <f t="shared" si="2"/>
        <v>0</v>
      </c>
      <c r="L112" s="50"/>
      <c r="M112" s="18"/>
      <c r="N112" s="18"/>
      <c r="O112" s="22" t="s">
        <v>455</v>
      </c>
    </row>
    <row r="113" spans="1:15" ht="15" customHeight="1">
      <c r="A113" s="11" t="s">
        <v>446</v>
      </c>
      <c r="B113" s="57"/>
      <c r="C113" s="55" t="s">
        <v>461</v>
      </c>
      <c r="D113" s="59"/>
      <c r="E113" s="11"/>
      <c r="F113" s="67">
        <v>1</v>
      </c>
      <c r="G113" s="14" t="s">
        <v>462</v>
      </c>
      <c r="H113" s="63"/>
      <c r="I113" s="63"/>
      <c r="J113" s="63"/>
      <c r="K113" s="62">
        <f t="shared" si="2"/>
        <v>0</v>
      </c>
      <c r="L113" s="50"/>
      <c r="M113" s="18"/>
      <c r="N113" s="18"/>
      <c r="O113" s="22" t="s">
        <v>455</v>
      </c>
    </row>
  </sheetData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3"/>
  <sheetViews>
    <sheetView showGridLines="0" zoomScale="91" zoomScaleNormal="91" workbookViewId="0">
      <pane xSplit="2" ySplit="3" topLeftCell="C109" activePane="bottomRight" state="frozen"/>
      <selection pane="topRight" activeCell="C1" sqref="C1"/>
      <selection pane="bottomLeft" activeCell="A6" sqref="A6"/>
      <selection pane="bottomRight" sqref="A1:G1"/>
    </sheetView>
  </sheetViews>
  <sheetFormatPr baseColWidth="10" defaultColWidth="8.7109375" defaultRowHeight="15"/>
  <cols>
    <col min="1" max="1" width="12" customWidth="1"/>
    <col min="2" max="2" width="16" customWidth="1"/>
    <col min="3" max="3" width="29.85546875" customWidth="1"/>
    <col min="4" max="4" width="9" customWidth="1"/>
    <col min="5" max="5" width="10" customWidth="1"/>
    <col min="6" max="6" width="24" customWidth="1"/>
    <col min="7" max="7" width="15.7109375" customWidth="1"/>
    <col min="8" max="8" width="30.140625" customWidth="1"/>
  </cols>
  <sheetData>
    <row r="1" spans="1:8" ht="21.75" customHeight="1">
      <c r="A1" s="42" t="s">
        <v>0</v>
      </c>
      <c r="B1" s="42"/>
      <c r="C1" s="42"/>
      <c r="D1" s="42"/>
      <c r="E1" s="42"/>
      <c r="F1" s="42"/>
      <c r="G1" s="42"/>
      <c r="H1" s="36"/>
    </row>
    <row r="2" spans="1:8" ht="25.5" customHeight="1">
      <c r="A2" s="44" t="s">
        <v>464</v>
      </c>
      <c r="B2" s="44"/>
      <c r="C2" s="44"/>
      <c r="D2" s="44"/>
      <c r="E2" s="44"/>
      <c r="F2" s="44"/>
      <c r="G2" s="44"/>
      <c r="H2" s="44"/>
    </row>
    <row r="3" spans="1:8" ht="27.75" customHeight="1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61</v>
      </c>
      <c r="G3" s="10" t="s">
        <v>62</v>
      </c>
      <c r="H3" s="10" t="s">
        <v>63</v>
      </c>
    </row>
    <row r="4" spans="1:8" ht="19.5" customHeight="1">
      <c r="A4" s="46" t="s">
        <v>465</v>
      </c>
      <c r="B4" s="46"/>
      <c r="C4" s="46"/>
      <c r="D4" s="46"/>
      <c r="E4" s="46"/>
      <c r="F4" s="46"/>
      <c r="G4" s="46"/>
      <c r="H4" s="46"/>
    </row>
    <row r="5" spans="1:8" ht="24" customHeight="1">
      <c r="A5" s="11" t="s">
        <v>466</v>
      </c>
      <c r="B5" s="12" t="s">
        <v>467</v>
      </c>
      <c r="C5" s="13" t="s">
        <v>468</v>
      </c>
      <c r="D5" s="11" t="s">
        <v>67</v>
      </c>
      <c r="E5" s="14" t="s">
        <v>469</v>
      </c>
      <c r="F5" s="17" t="s">
        <v>470</v>
      </c>
      <c r="G5" s="17" t="s">
        <v>471</v>
      </c>
      <c r="H5" s="22" t="s">
        <v>472</v>
      </c>
    </row>
    <row r="6" spans="1:8" ht="24" customHeight="1">
      <c r="A6" s="11" t="s">
        <v>466</v>
      </c>
      <c r="B6" s="12" t="s">
        <v>473</v>
      </c>
      <c r="C6" s="13" t="s">
        <v>474</v>
      </c>
      <c r="D6" s="11" t="s">
        <v>67</v>
      </c>
      <c r="E6" s="14" t="s">
        <v>475</v>
      </c>
      <c r="F6" s="17" t="s">
        <v>470</v>
      </c>
      <c r="G6" s="17" t="s">
        <v>471</v>
      </c>
      <c r="H6" s="22" t="s">
        <v>476</v>
      </c>
    </row>
    <row r="7" spans="1:8" ht="24" customHeight="1">
      <c r="A7" s="11" t="s">
        <v>466</v>
      </c>
      <c r="B7" s="12" t="s">
        <v>477</v>
      </c>
      <c r="C7" s="13" t="s">
        <v>478</v>
      </c>
      <c r="D7" s="11" t="s">
        <v>67</v>
      </c>
      <c r="E7" s="14" t="s">
        <v>469</v>
      </c>
      <c r="F7" s="17" t="s">
        <v>479</v>
      </c>
      <c r="G7" s="17" t="s">
        <v>471</v>
      </c>
      <c r="H7" s="22" t="s">
        <v>480</v>
      </c>
    </row>
    <row r="8" spans="1:8" ht="24" customHeight="1">
      <c r="A8" s="11" t="s">
        <v>466</v>
      </c>
      <c r="B8" s="12" t="s">
        <v>481</v>
      </c>
      <c r="C8" s="13" t="s">
        <v>482</v>
      </c>
      <c r="D8" s="11" t="s">
        <v>67</v>
      </c>
      <c r="E8" s="14" t="s">
        <v>475</v>
      </c>
      <c r="F8" s="17" t="s">
        <v>479</v>
      </c>
      <c r="G8" s="17" t="s">
        <v>471</v>
      </c>
      <c r="H8" s="22" t="s">
        <v>476</v>
      </c>
    </row>
    <row r="9" spans="1:8" ht="24" customHeight="1">
      <c r="A9" s="11" t="s">
        <v>466</v>
      </c>
      <c r="B9" s="12" t="s">
        <v>483</v>
      </c>
      <c r="C9" s="13" t="s">
        <v>484</v>
      </c>
      <c r="D9" s="11" t="s">
        <v>67</v>
      </c>
      <c r="E9" s="14" t="s">
        <v>469</v>
      </c>
      <c r="F9" s="17" t="s">
        <v>485</v>
      </c>
      <c r="G9" s="17" t="s">
        <v>471</v>
      </c>
      <c r="H9" s="22" t="s">
        <v>486</v>
      </c>
    </row>
    <row r="10" spans="1:8" ht="24" customHeight="1">
      <c r="A10" s="11" t="s">
        <v>466</v>
      </c>
      <c r="B10" s="12" t="s">
        <v>487</v>
      </c>
      <c r="C10" s="13" t="s">
        <v>488</v>
      </c>
      <c r="D10" s="11" t="s">
        <v>67</v>
      </c>
      <c r="E10" s="14" t="s">
        <v>475</v>
      </c>
      <c r="F10" s="17" t="s">
        <v>485</v>
      </c>
      <c r="G10" s="17" t="s">
        <v>471</v>
      </c>
      <c r="H10" s="22" t="s">
        <v>476</v>
      </c>
    </row>
    <row r="11" spans="1:8" ht="24" customHeight="1">
      <c r="A11" s="11" t="s">
        <v>466</v>
      </c>
      <c r="B11" s="12" t="s">
        <v>489</v>
      </c>
      <c r="C11" s="13" t="s">
        <v>490</v>
      </c>
      <c r="D11" s="11" t="s">
        <v>67</v>
      </c>
      <c r="E11" s="14" t="s">
        <v>469</v>
      </c>
      <c r="F11" s="17" t="s">
        <v>491</v>
      </c>
      <c r="G11" s="17" t="s">
        <v>471</v>
      </c>
      <c r="H11" s="22" t="s">
        <v>492</v>
      </c>
    </row>
    <row r="12" spans="1:8" ht="24" customHeight="1">
      <c r="A12" s="11" t="s">
        <v>466</v>
      </c>
      <c r="B12" s="12" t="s">
        <v>493</v>
      </c>
      <c r="C12" s="13" t="s">
        <v>494</v>
      </c>
      <c r="D12" s="11" t="s">
        <v>67</v>
      </c>
      <c r="E12" s="14" t="s">
        <v>475</v>
      </c>
      <c r="F12" s="17" t="s">
        <v>491</v>
      </c>
      <c r="G12" s="17" t="s">
        <v>471</v>
      </c>
      <c r="H12" s="22" t="s">
        <v>476</v>
      </c>
    </row>
    <row r="13" spans="1:8" ht="24" customHeight="1">
      <c r="A13" s="11" t="s">
        <v>466</v>
      </c>
      <c r="B13" s="12" t="s">
        <v>495</v>
      </c>
      <c r="C13" s="13" t="s">
        <v>496</v>
      </c>
      <c r="D13" s="11" t="s">
        <v>67</v>
      </c>
      <c r="E13" s="14" t="s">
        <v>469</v>
      </c>
      <c r="F13" s="17" t="s">
        <v>497</v>
      </c>
      <c r="G13" s="17" t="s">
        <v>471</v>
      </c>
      <c r="H13" s="22" t="s">
        <v>498</v>
      </c>
    </row>
    <row r="14" spans="1:8" ht="24" customHeight="1">
      <c r="A14" s="11" t="s">
        <v>466</v>
      </c>
      <c r="B14" s="12" t="s">
        <v>499</v>
      </c>
      <c r="C14" s="13" t="s">
        <v>500</v>
      </c>
      <c r="D14" s="11" t="s">
        <v>67</v>
      </c>
      <c r="E14" s="14" t="s">
        <v>475</v>
      </c>
      <c r="F14" s="17" t="s">
        <v>497</v>
      </c>
      <c r="G14" s="17" t="s">
        <v>471</v>
      </c>
      <c r="H14" s="22" t="s">
        <v>476</v>
      </c>
    </row>
    <row r="15" spans="1:8" ht="24" customHeight="1">
      <c r="A15" s="11" t="s">
        <v>466</v>
      </c>
      <c r="B15" s="12" t="s">
        <v>501</v>
      </c>
      <c r="C15" s="13" t="s">
        <v>502</v>
      </c>
      <c r="D15" s="11" t="s">
        <v>67</v>
      </c>
      <c r="E15" s="14" t="s">
        <v>469</v>
      </c>
      <c r="F15" s="17" t="s">
        <v>503</v>
      </c>
      <c r="G15" s="17" t="s">
        <v>471</v>
      </c>
      <c r="H15" s="22" t="s">
        <v>504</v>
      </c>
    </row>
    <row r="16" spans="1:8" ht="24" customHeight="1">
      <c r="A16" s="11" t="s">
        <v>466</v>
      </c>
      <c r="B16" s="12" t="s">
        <v>505</v>
      </c>
      <c r="C16" s="13" t="s">
        <v>506</v>
      </c>
      <c r="D16" s="11" t="s">
        <v>67</v>
      </c>
      <c r="E16" s="14" t="s">
        <v>469</v>
      </c>
      <c r="F16" s="17" t="s">
        <v>507</v>
      </c>
      <c r="G16" s="17" t="s">
        <v>508</v>
      </c>
      <c r="H16" s="22" t="s">
        <v>509</v>
      </c>
    </row>
    <row r="17" spans="1:8" ht="24" customHeight="1">
      <c r="A17" s="11" t="s">
        <v>466</v>
      </c>
      <c r="B17" s="12" t="s">
        <v>510</v>
      </c>
      <c r="C17" s="13" t="s">
        <v>511</v>
      </c>
      <c r="D17" s="11" t="s">
        <v>67</v>
      </c>
      <c r="E17" s="14" t="s">
        <v>475</v>
      </c>
      <c r="F17" s="17" t="s">
        <v>507</v>
      </c>
      <c r="G17" s="17" t="s">
        <v>508</v>
      </c>
      <c r="H17" s="22" t="s">
        <v>476</v>
      </c>
    </row>
    <row r="18" spans="1:8" ht="24" customHeight="1">
      <c r="A18" s="11" t="s">
        <v>466</v>
      </c>
      <c r="B18" s="12" t="s">
        <v>512</v>
      </c>
      <c r="C18" s="13" t="s">
        <v>513</v>
      </c>
      <c r="D18" s="11" t="s">
        <v>67</v>
      </c>
      <c r="E18" s="14" t="s">
        <v>469</v>
      </c>
      <c r="F18" s="17" t="s">
        <v>514</v>
      </c>
      <c r="G18" s="17" t="s">
        <v>508</v>
      </c>
      <c r="H18" s="22" t="s">
        <v>515</v>
      </c>
    </row>
    <row r="19" spans="1:8" ht="24" customHeight="1">
      <c r="A19" s="11" t="s">
        <v>466</v>
      </c>
      <c r="B19" s="12" t="s">
        <v>516</v>
      </c>
      <c r="C19" s="13" t="s">
        <v>517</v>
      </c>
      <c r="D19" s="11" t="s">
        <v>67</v>
      </c>
      <c r="E19" s="14" t="s">
        <v>475</v>
      </c>
      <c r="F19" s="17" t="s">
        <v>514</v>
      </c>
      <c r="G19" s="17" t="s">
        <v>508</v>
      </c>
      <c r="H19" s="22" t="s">
        <v>476</v>
      </c>
    </row>
    <row r="20" spans="1:8" ht="24" customHeight="1">
      <c r="A20" s="11" t="s">
        <v>466</v>
      </c>
      <c r="B20" s="12" t="s">
        <v>518</v>
      </c>
      <c r="C20" s="13" t="s">
        <v>519</v>
      </c>
      <c r="D20" s="11" t="s">
        <v>67</v>
      </c>
      <c r="E20" s="14" t="s">
        <v>469</v>
      </c>
      <c r="F20" s="17" t="s">
        <v>520</v>
      </c>
      <c r="G20" s="17" t="s">
        <v>521</v>
      </c>
      <c r="H20" s="22" t="s">
        <v>522</v>
      </c>
    </row>
    <row r="21" spans="1:8" ht="24" customHeight="1">
      <c r="A21" s="11" t="s">
        <v>523</v>
      </c>
      <c r="B21" s="12" t="s">
        <v>524</v>
      </c>
      <c r="C21" s="13" t="s">
        <v>525</v>
      </c>
      <c r="D21" s="11" t="s">
        <v>67</v>
      </c>
      <c r="E21" s="14" t="s">
        <v>469</v>
      </c>
      <c r="F21" s="17" t="s">
        <v>526</v>
      </c>
      <c r="G21" s="17" t="s">
        <v>527</v>
      </c>
      <c r="H21" s="22" t="s">
        <v>528</v>
      </c>
    </row>
    <row r="22" spans="1:8" ht="24" customHeight="1">
      <c r="A22" s="11" t="s">
        <v>523</v>
      </c>
      <c r="B22" s="12" t="s">
        <v>529</v>
      </c>
      <c r="C22" s="13" t="s">
        <v>530</v>
      </c>
      <c r="D22" s="11" t="s">
        <v>67</v>
      </c>
      <c r="E22" s="14" t="s">
        <v>469</v>
      </c>
      <c r="F22" s="17" t="s">
        <v>531</v>
      </c>
      <c r="G22" s="17" t="s">
        <v>527</v>
      </c>
      <c r="H22" s="22" t="s">
        <v>532</v>
      </c>
    </row>
    <row r="23" spans="1:8" ht="24" customHeight="1">
      <c r="A23" s="11" t="s">
        <v>523</v>
      </c>
      <c r="B23" s="12" t="s">
        <v>533</v>
      </c>
      <c r="C23" s="13" t="s">
        <v>534</v>
      </c>
      <c r="D23" s="11" t="s">
        <v>67</v>
      </c>
      <c r="E23" s="14" t="s">
        <v>469</v>
      </c>
      <c r="F23" s="17" t="s">
        <v>535</v>
      </c>
      <c r="G23" s="17" t="s">
        <v>527</v>
      </c>
      <c r="H23" s="22" t="s">
        <v>536</v>
      </c>
    </row>
    <row r="24" spans="1:8" ht="24" customHeight="1">
      <c r="A24" s="11" t="s">
        <v>523</v>
      </c>
      <c r="B24" s="12" t="s">
        <v>537</v>
      </c>
      <c r="C24" s="13" t="s">
        <v>538</v>
      </c>
      <c r="D24" s="11" t="s">
        <v>67</v>
      </c>
      <c r="E24" s="14" t="s">
        <v>475</v>
      </c>
      <c r="F24" s="17" t="s">
        <v>535</v>
      </c>
      <c r="G24" s="17" t="s">
        <v>527</v>
      </c>
      <c r="H24" s="22" t="s">
        <v>476</v>
      </c>
    </row>
    <row r="25" spans="1:8" ht="24" customHeight="1">
      <c r="A25" s="11" t="s">
        <v>523</v>
      </c>
      <c r="B25" s="12" t="s">
        <v>539</v>
      </c>
      <c r="C25" s="13" t="s">
        <v>540</v>
      </c>
      <c r="D25" s="11" t="s">
        <v>67</v>
      </c>
      <c r="E25" s="14" t="s">
        <v>469</v>
      </c>
      <c r="F25" s="17" t="s">
        <v>541</v>
      </c>
      <c r="G25" s="17" t="s">
        <v>527</v>
      </c>
      <c r="H25" s="22" t="s">
        <v>542</v>
      </c>
    </row>
    <row r="26" spans="1:8" ht="24" customHeight="1">
      <c r="A26" s="11" t="s">
        <v>523</v>
      </c>
      <c r="B26" s="12" t="s">
        <v>543</v>
      </c>
      <c r="C26" s="13" t="s">
        <v>544</v>
      </c>
      <c r="D26" s="11" t="s">
        <v>67</v>
      </c>
      <c r="E26" s="14" t="s">
        <v>475</v>
      </c>
      <c r="F26" s="17" t="s">
        <v>541</v>
      </c>
      <c r="G26" s="17" t="s">
        <v>527</v>
      </c>
      <c r="H26" s="22" t="s">
        <v>476</v>
      </c>
    </row>
    <row r="27" spans="1:8" ht="24" customHeight="1">
      <c r="A27" s="11" t="s">
        <v>523</v>
      </c>
      <c r="B27" s="12" t="s">
        <v>545</v>
      </c>
      <c r="C27" s="13" t="s">
        <v>546</v>
      </c>
      <c r="D27" s="11" t="s">
        <v>67</v>
      </c>
      <c r="E27" s="14" t="s">
        <v>469</v>
      </c>
      <c r="F27" s="17" t="s">
        <v>547</v>
      </c>
      <c r="G27" s="17" t="s">
        <v>527</v>
      </c>
      <c r="H27" s="22" t="s">
        <v>548</v>
      </c>
    </row>
    <row r="28" spans="1:8" ht="24" customHeight="1">
      <c r="A28" s="11" t="s">
        <v>523</v>
      </c>
      <c r="B28" s="12" t="s">
        <v>549</v>
      </c>
      <c r="C28" s="13" t="s">
        <v>550</v>
      </c>
      <c r="D28" s="11" t="s">
        <v>67</v>
      </c>
      <c r="E28" s="14" t="s">
        <v>469</v>
      </c>
      <c r="F28" s="17" t="s">
        <v>551</v>
      </c>
      <c r="G28" s="17" t="s">
        <v>527</v>
      </c>
      <c r="H28" s="22" t="s">
        <v>552</v>
      </c>
    </row>
    <row r="29" spans="1:8" ht="24" customHeight="1">
      <c r="A29" s="11" t="s">
        <v>523</v>
      </c>
      <c r="B29" s="12" t="s">
        <v>553</v>
      </c>
      <c r="C29" s="13" t="s">
        <v>170</v>
      </c>
      <c r="D29" s="11" t="s">
        <v>67</v>
      </c>
      <c r="E29" s="14" t="s">
        <v>469</v>
      </c>
      <c r="F29" s="17" t="s">
        <v>554</v>
      </c>
      <c r="G29" s="17" t="s">
        <v>555</v>
      </c>
      <c r="H29" s="22" t="s">
        <v>556</v>
      </c>
    </row>
    <row r="30" spans="1:8" ht="24" customHeight="1">
      <c r="A30" s="11" t="s">
        <v>523</v>
      </c>
      <c r="B30" s="12" t="s">
        <v>557</v>
      </c>
      <c r="C30" s="13" t="s">
        <v>558</v>
      </c>
      <c r="D30" s="11" t="s">
        <v>67</v>
      </c>
      <c r="E30" s="14" t="s">
        <v>469</v>
      </c>
      <c r="F30" s="17" t="s">
        <v>559</v>
      </c>
      <c r="G30" s="17" t="s">
        <v>527</v>
      </c>
      <c r="H30" s="22" t="s">
        <v>560</v>
      </c>
    </row>
    <row r="31" spans="1:8" ht="24" customHeight="1">
      <c r="A31" s="11" t="s">
        <v>523</v>
      </c>
      <c r="B31" s="12" t="s">
        <v>561</v>
      </c>
      <c r="C31" s="13" t="s">
        <v>562</v>
      </c>
      <c r="D31" s="11" t="s">
        <v>67</v>
      </c>
      <c r="E31" s="14" t="s">
        <v>469</v>
      </c>
      <c r="F31" s="17" t="s">
        <v>563</v>
      </c>
      <c r="G31" s="17" t="s">
        <v>527</v>
      </c>
      <c r="H31" s="22" t="s">
        <v>564</v>
      </c>
    </row>
    <row r="32" spans="1:8" ht="24" customHeight="1">
      <c r="A32" s="11" t="s">
        <v>523</v>
      </c>
      <c r="B32" s="12" t="s">
        <v>565</v>
      </c>
      <c r="C32" s="13" t="s">
        <v>566</v>
      </c>
      <c r="D32" s="11" t="s">
        <v>67</v>
      </c>
      <c r="E32" s="14" t="s">
        <v>469</v>
      </c>
      <c r="F32" s="17" t="s">
        <v>567</v>
      </c>
      <c r="G32" s="17" t="s">
        <v>527</v>
      </c>
      <c r="H32" s="22" t="s">
        <v>568</v>
      </c>
    </row>
    <row r="33" spans="1:8" ht="24" customHeight="1">
      <c r="A33" s="11" t="s">
        <v>523</v>
      </c>
      <c r="B33" s="12" t="s">
        <v>569</v>
      </c>
      <c r="C33" s="13" t="s">
        <v>570</v>
      </c>
      <c r="D33" s="11" t="s">
        <v>67</v>
      </c>
      <c r="E33" s="14" t="s">
        <v>469</v>
      </c>
      <c r="F33" s="17" t="s">
        <v>571</v>
      </c>
      <c r="G33" s="17" t="s">
        <v>570</v>
      </c>
      <c r="H33" s="22" t="s">
        <v>572</v>
      </c>
    </row>
    <row r="34" spans="1:8" ht="24" customHeight="1">
      <c r="A34" s="11" t="s">
        <v>523</v>
      </c>
      <c r="B34" s="12" t="s">
        <v>573</v>
      </c>
      <c r="C34" s="13" t="s">
        <v>574</v>
      </c>
      <c r="D34" s="11" t="s">
        <v>67</v>
      </c>
      <c r="E34" s="14" t="s">
        <v>469</v>
      </c>
      <c r="F34" s="17" t="s">
        <v>575</v>
      </c>
      <c r="G34" s="17" t="s">
        <v>576</v>
      </c>
      <c r="H34" s="22" t="s">
        <v>577</v>
      </c>
    </row>
    <row r="35" spans="1:8" ht="24" customHeight="1">
      <c r="A35" s="11" t="s">
        <v>523</v>
      </c>
      <c r="B35" s="12" t="s">
        <v>578</v>
      </c>
      <c r="C35" s="13" t="s">
        <v>579</v>
      </c>
      <c r="D35" s="11" t="s">
        <v>67</v>
      </c>
      <c r="E35" s="14" t="s">
        <v>469</v>
      </c>
      <c r="F35" s="17" t="s">
        <v>580</v>
      </c>
      <c r="G35" s="17" t="s">
        <v>576</v>
      </c>
      <c r="H35" s="22" t="s">
        <v>581</v>
      </c>
    </row>
    <row r="36" spans="1:8" ht="24" customHeight="1">
      <c r="A36" s="11" t="s">
        <v>523</v>
      </c>
      <c r="B36" s="12" t="s">
        <v>582</v>
      </c>
      <c r="C36" s="13" t="s">
        <v>583</v>
      </c>
      <c r="D36" s="11" t="s">
        <v>67</v>
      </c>
      <c r="E36" s="14" t="s">
        <v>469</v>
      </c>
      <c r="F36" s="17" t="s">
        <v>584</v>
      </c>
      <c r="G36" s="17" t="s">
        <v>527</v>
      </c>
      <c r="H36" s="22" t="s">
        <v>585</v>
      </c>
    </row>
    <row r="37" spans="1:8" ht="24" customHeight="1">
      <c r="A37" s="11" t="s">
        <v>523</v>
      </c>
      <c r="B37" s="12" t="s">
        <v>586</v>
      </c>
      <c r="C37" s="13" t="s">
        <v>587</v>
      </c>
      <c r="D37" s="11" t="s">
        <v>67</v>
      </c>
      <c r="E37" s="14" t="s">
        <v>469</v>
      </c>
      <c r="F37" s="17" t="s">
        <v>588</v>
      </c>
      <c r="G37" s="17" t="s">
        <v>527</v>
      </c>
      <c r="H37" s="22" t="s">
        <v>589</v>
      </c>
    </row>
    <row r="38" spans="1:8" ht="24" customHeight="1">
      <c r="A38" s="11" t="s">
        <v>523</v>
      </c>
      <c r="B38" s="12" t="s">
        <v>590</v>
      </c>
      <c r="C38" s="13" t="s">
        <v>591</v>
      </c>
      <c r="D38" s="11" t="s">
        <v>67</v>
      </c>
      <c r="E38" s="14" t="s">
        <v>469</v>
      </c>
      <c r="F38" s="17" t="s">
        <v>592</v>
      </c>
      <c r="G38" s="17" t="s">
        <v>527</v>
      </c>
      <c r="H38" s="22" t="s">
        <v>593</v>
      </c>
    </row>
    <row r="39" spans="1:8" ht="24" customHeight="1">
      <c r="A39" s="11" t="s">
        <v>523</v>
      </c>
      <c r="B39" s="12" t="s">
        <v>594</v>
      </c>
      <c r="C39" s="13" t="s">
        <v>595</v>
      </c>
      <c r="D39" s="11" t="s">
        <v>67</v>
      </c>
      <c r="E39" s="14" t="s">
        <v>469</v>
      </c>
      <c r="F39" s="17" t="s">
        <v>596</v>
      </c>
      <c r="G39" s="17" t="s">
        <v>527</v>
      </c>
      <c r="H39" s="22" t="s">
        <v>597</v>
      </c>
    </row>
    <row r="40" spans="1:8" ht="24" customHeight="1">
      <c r="A40" s="11" t="s">
        <v>523</v>
      </c>
      <c r="B40" s="12" t="s">
        <v>598</v>
      </c>
      <c r="C40" s="13" t="s">
        <v>599</v>
      </c>
      <c r="D40" s="11" t="s">
        <v>67</v>
      </c>
      <c r="E40" s="14" t="s">
        <v>469</v>
      </c>
      <c r="F40" s="17" t="s">
        <v>600</v>
      </c>
      <c r="G40" s="17" t="s">
        <v>601</v>
      </c>
      <c r="H40" s="22" t="s">
        <v>602</v>
      </c>
    </row>
    <row r="41" spans="1:8" ht="24" customHeight="1">
      <c r="A41" s="11" t="s">
        <v>603</v>
      </c>
      <c r="B41" s="12" t="s">
        <v>604</v>
      </c>
      <c r="C41" s="13" t="s">
        <v>605</v>
      </c>
      <c r="D41" s="11" t="s">
        <v>67</v>
      </c>
      <c r="E41" s="14" t="s">
        <v>469</v>
      </c>
      <c r="F41" s="17" t="s">
        <v>606</v>
      </c>
      <c r="G41" s="17" t="s">
        <v>607</v>
      </c>
      <c r="H41" s="22" t="s">
        <v>608</v>
      </c>
    </row>
    <row r="42" spans="1:8" ht="24" customHeight="1">
      <c r="A42" s="11" t="s">
        <v>603</v>
      </c>
      <c r="B42" s="12" t="s">
        <v>609</v>
      </c>
      <c r="C42" s="13" t="s">
        <v>610</v>
      </c>
      <c r="D42" s="11" t="s">
        <v>67</v>
      </c>
      <c r="E42" s="14" t="s">
        <v>475</v>
      </c>
      <c r="F42" s="17" t="s">
        <v>606</v>
      </c>
      <c r="G42" s="17" t="s">
        <v>607</v>
      </c>
      <c r="H42" s="22" t="s">
        <v>611</v>
      </c>
    </row>
    <row r="43" spans="1:8" ht="24" customHeight="1">
      <c r="A43" s="11" t="s">
        <v>603</v>
      </c>
      <c r="B43" s="12" t="s">
        <v>612</v>
      </c>
      <c r="C43" s="13" t="s">
        <v>613</v>
      </c>
      <c r="D43" s="11" t="s">
        <v>67</v>
      </c>
      <c r="E43" s="14" t="s">
        <v>469</v>
      </c>
      <c r="F43" s="17" t="s">
        <v>614</v>
      </c>
      <c r="G43" s="17" t="s">
        <v>607</v>
      </c>
      <c r="H43" s="22" t="s">
        <v>615</v>
      </c>
    </row>
    <row r="44" spans="1:8" ht="24" customHeight="1">
      <c r="A44" s="11" t="s">
        <v>603</v>
      </c>
      <c r="B44" s="12" t="s">
        <v>616</v>
      </c>
      <c r="C44" s="13" t="s">
        <v>617</v>
      </c>
      <c r="D44" s="11" t="s">
        <v>67</v>
      </c>
      <c r="E44" s="14" t="s">
        <v>475</v>
      </c>
      <c r="F44" s="17" t="s">
        <v>614</v>
      </c>
      <c r="G44" s="17" t="s">
        <v>607</v>
      </c>
      <c r="H44" s="22" t="s">
        <v>476</v>
      </c>
    </row>
    <row r="45" spans="1:8" ht="24" customHeight="1">
      <c r="A45" s="11" t="s">
        <v>603</v>
      </c>
      <c r="B45" s="12" t="s">
        <v>618</v>
      </c>
      <c r="C45" s="13" t="s">
        <v>619</v>
      </c>
      <c r="D45" s="11" t="s">
        <v>67</v>
      </c>
      <c r="E45" s="14" t="s">
        <v>469</v>
      </c>
      <c r="F45" s="17" t="s">
        <v>620</v>
      </c>
      <c r="G45" s="17" t="s">
        <v>607</v>
      </c>
      <c r="H45" s="22" t="s">
        <v>621</v>
      </c>
    </row>
    <row r="46" spans="1:8" ht="24" customHeight="1">
      <c r="A46" s="11" t="s">
        <v>603</v>
      </c>
      <c r="B46" s="12" t="s">
        <v>622</v>
      </c>
      <c r="C46" s="13" t="s">
        <v>623</v>
      </c>
      <c r="D46" s="11" t="s">
        <v>67</v>
      </c>
      <c r="E46" s="14" t="s">
        <v>475</v>
      </c>
      <c r="F46" s="17" t="s">
        <v>620</v>
      </c>
      <c r="G46" s="17" t="s">
        <v>607</v>
      </c>
      <c r="H46" s="22" t="s">
        <v>476</v>
      </c>
    </row>
    <row r="47" spans="1:8" ht="24" customHeight="1">
      <c r="A47" s="11" t="s">
        <v>603</v>
      </c>
      <c r="B47" s="12" t="s">
        <v>624</v>
      </c>
      <c r="C47" s="13" t="s">
        <v>625</v>
      </c>
      <c r="D47" s="11" t="s">
        <v>67</v>
      </c>
      <c r="E47" s="14" t="s">
        <v>469</v>
      </c>
      <c r="F47" s="17" t="s">
        <v>626</v>
      </c>
      <c r="G47" s="17" t="s">
        <v>607</v>
      </c>
      <c r="H47" s="22" t="s">
        <v>627</v>
      </c>
    </row>
    <row r="48" spans="1:8" ht="24" customHeight="1">
      <c r="A48" s="11" t="s">
        <v>603</v>
      </c>
      <c r="B48" s="12" t="s">
        <v>628</v>
      </c>
      <c r="C48" s="13" t="s">
        <v>629</v>
      </c>
      <c r="D48" s="11" t="s">
        <v>67</v>
      </c>
      <c r="E48" s="14" t="s">
        <v>475</v>
      </c>
      <c r="F48" s="17" t="s">
        <v>626</v>
      </c>
      <c r="G48" s="17" t="s">
        <v>607</v>
      </c>
      <c r="H48" s="22" t="s">
        <v>476</v>
      </c>
    </row>
    <row r="49" spans="1:8" ht="24" customHeight="1">
      <c r="A49" s="11" t="s">
        <v>603</v>
      </c>
      <c r="B49" s="12" t="s">
        <v>630</v>
      </c>
      <c r="C49" s="13" t="s">
        <v>631</v>
      </c>
      <c r="D49" s="11" t="s">
        <v>67</v>
      </c>
      <c r="E49" s="14" t="s">
        <v>469</v>
      </c>
      <c r="F49" s="17" t="s">
        <v>632</v>
      </c>
      <c r="G49" s="17" t="s">
        <v>607</v>
      </c>
      <c r="H49" s="22" t="s">
        <v>633</v>
      </c>
    </row>
    <row r="50" spans="1:8" ht="24" customHeight="1">
      <c r="A50" s="11" t="s">
        <v>603</v>
      </c>
      <c r="B50" s="12" t="s">
        <v>634</v>
      </c>
      <c r="C50" s="13" t="s">
        <v>635</v>
      </c>
      <c r="D50" s="11" t="s">
        <v>67</v>
      </c>
      <c r="E50" s="14" t="s">
        <v>469</v>
      </c>
      <c r="F50" s="17" t="s">
        <v>636</v>
      </c>
      <c r="G50" s="17" t="s">
        <v>607</v>
      </c>
      <c r="H50" s="22" t="s">
        <v>637</v>
      </c>
    </row>
    <row r="51" spans="1:8" ht="24" customHeight="1">
      <c r="A51" s="11" t="s">
        <v>603</v>
      </c>
      <c r="B51" s="12" t="s">
        <v>638</v>
      </c>
      <c r="C51" s="13" t="s">
        <v>639</v>
      </c>
      <c r="D51" s="11" t="s">
        <v>67</v>
      </c>
      <c r="E51" s="14" t="s">
        <v>475</v>
      </c>
      <c r="F51" s="17" t="s">
        <v>636</v>
      </c>
      <c r="G51" s="17" t="s">
        <v>607</v>
      </c>
      <c r="H51" s="22" t="s">
        <v>476</v>
      </c>
    </row>
    <row r="52" spans="1:8" ht="24" customHeight="1">
      <c r="A52" s="11" t="s">
        <v>603</v>
      </c>
      <c r="B52" s="12" t="s">
        <v>640</v>
      </c>
      <c r="C52" s="13" t="s">
        <v>641</v>
      </c>
      <c r="D52" s="11" t="s">
        <v>67</v>
      </c>
      <c r="E52" s="14" t="s">
        <v>469</v>
      </c>
      <c r="F52" s="17" t="s">
        <v>642</v>
      </c>
      <c r="G52" s="17" t="s">
        <v>607</v>
      </c>
      <c r="H52" s="22" t="s">
        <v>643</v>
      </c>
    </row>
    <row r="53" spans="1:8" ht="24" customHeight="1">
      <c r="A53" s="11" t="s">
        <v>603</v>
      </c>
      <c r="B53" s="12" t="s">
        <v>644</v>
      </c>
      <c r="C53" s="13" t="s">
        <v>645</v>
      </c>
      <c r="D53" s="11" t="s">
        <v>67</v>
      </c>
      <c r="E53" s="14" t="s">
        <v>475</v>
      </c>
      <c r="F53" s="17" t="s">
        <v>642</v>
      </c>
      <c r="G53" s="17" t="s">
        <v>607</v>
      </c>
      <c r="H53" s="22" t="s">
        <v>646</v>
      </c>
    </row>
    <row r="54" spans="1:8" ht="24" customHeight="1">
      <c r="A54" s="11" t="s">
        <v>603</v>
      </c>
      <c r="B54" s="12" t="s">
        <v>647</v>
      </c>
      <c r="C54" s="13" t="s">
        <v>648</v>
      </c>
      <c r="D54" s="11" t="s">
        <v>67</v>
      </c>
      <c r="E54" s="14" t="s">
        <v>469</v>
      </c>
      <c r="F54" s="17" t="s">
        <v>649</v>
      </c>
      <c r="G54" s="17" t="s">
        <v>607</v>
      </c>
      <c r="H54" s="22" t="s">
        <v>650</v>
      </c>
    </row>
    <row r="55" spans="1:8" ht="24" customHeight="1">
      <c r="A55" s="11" t="s">
        <v>603</v>
      </c>
      <c r="B55" s="12" t="s">
        <v>651</v>
      </c>
      <c r="C55" s="13" t="s">
        <v>652</v>
      </c>
      <c r="D55" s="11" t="s">
        <v>67</v>
      </c>
      <c r="E55" s="14" t="s">
        <v>475</v>
      </c>
      <c r="F55" s="17" t="s">
        <v>649</v>
      </c>
      <c r="G55" s="17" t="s">
        <v>607</v>
      </c>
      <c r="H55" s="22" t="s">
        <v>476</v>
      </c>
    </row>
    <row r="56" spans="1:8" ht="24" customHeight="1">
      <c r="A56" s="11" t="s">
        <v>653</v>
      </c>
      <c r="B56" s="12" t="s">
        <v>654</v>
      </c>
      <c r="C56" s="13" t="s">
        <v>655</v>
      </c>
      <c r="D56" s="11" t="s">
        <v>67</v>
      </c>
      <c r="E56" s="14" t="s">
        <v>469</v>
      </c>
      <c r="F56" s="17" t="s">
        <v>656</v>
      </c>
      <c r="G56" s="17" t="s">
        <v>657</v>
      </c>
      <c r="H56" s="22" t="s">
        <v>658</v>
      </c>
    </row>
    <row r="57" spans="1:8" ht="24" customHeight="1">
      <c r="A57" s="11" t="s">
        <v>653</v>
      </c>
      <c r="B57" s="12" t="s">
        <v>659</v>
      </c>
      <c r="C57" s="13" t="s">
        <v>660</v>
      </c>
      <c r="D57" s="11" t="s">
        <v>67</v>
      </c>
      <c r="E57" s="14" t="s">
        <v>475</v>
      </c>
      <c r="F57" s="17" t="s">
        <v>656</v>
      </c>
      <c r="G57" s="17" t="s">
        <v>657</v>
      </c>
      <c r="H57" s="22" t="s">
        <v>476</v>
      </c>
    </row>
    <row r="58" spans="1:8" ht="24" customHeight="1">
      <c r="A58" s="11" t="s">
        <v>653</v>
      </c>
      <c r="B58" s="12" t="s">
        <v>661</v>
      </c>
      <c r="C58" s="13" t="s">
        <v>662</v>
      </c>
      <c r="D58" s="11" t="s">
        <v>67</v>
      </c>
      <c r="E58" s="14" t="s">
        <v>469</v>
      </c>
      <c r="F58" s="17" t="s">
        <v>663</v>
      </c>
      <c r="G58" s="17" t="s">
        <v>657</v>
      </c>
      <c r="H58" s="22" t="s">
        <v>664</v>
      </c>
    </row>
    <row r="59" spans="1:8" ht="24" customHeight="1">
      <c r="A59" s="11" t="s">
        <v>665</v>
      </c>
      <c r="B59" s="12" t="s">
        <v>666</v>
      </c>
      <c r="C59" s="13" t="s">
        <v>667</v>
      </c>
      <c r="D59" s="11" t="s">
        <v>67</v>
      </c>
      <c r="E59" s="14" t="s">
        <v>469</v>
      </c>
      <c r="F59" s="17" t="s">
        <v>668</v>
      </c>
      <c r="G59" s="17" t="s">
        <v>657</v>
      </c>
      <c r="H59" s="22" t="s">
        <v>669</v>
      </c>
    </row>
    <row r="60" spans="1:8" ht="24" customHeight="1">
      <c r="A60" s="11" t="s">
        <v>665</v>
      </c>
      <c r="B60" s="12" t="s">
        <v>670</v>
      </c>
      <c r="C60" s="13" t="s">
        <v>671</v>
      </c>
      <c r="D60" s="11" t="s">
        <v>67</v>
      </c>
      <c r="E60" s="14" t="s">
        <v>469</v>
      </c>
      <c r="F60" s="17" t="s">
        <v>672</v>
      </c>
      <c r="G60" s="17" t="s">
        <v>657</v>
      </c>
      <c r="H60" s="22" t="s">
        <v>673</v>
      </c>
    </row>
    <row r="61" spans="1:8" ht="24" customHeight="1">
      <c r="A61" s="11" t="s">
        <v>665</v>
      </c>
      <c r="B61" s="12" t="s">
        <v>674</v>
      </c>
      <c r="C61" s="13" t="s">
        <v>675</v>
      </c>
      <c r="D61" s="11" t="s">
        <v>67</v>
      </c>
      <c r="E61" s="14" t="s">
        <v>475</v>
      </c>
      <c r="F61" s="17" t="s">
        <v>672</v>
      </c>
      <c r="G61" s="17" t="s">
        <v>657</v>
      </c>
      <c r="H61" s="22" t="s">
        <v>676</v>
      </c>
    </row>
    <row r="62" spans="1:8" ht="24" customHeight="1">
      <c r="A62" s="11" t="s">
        <v>665</v>
      </c>
      <c r="B62" s="12" t="s">
        <v>677</v>
      </c>
      <c r="C62" s="13" t="s">
        <v>678</v>
      </c>
      <c r="D62" s="11" t="s">
        <v>67</v>
      </c>
      <c r="E62" s="14" t="s">
        <v>469</v>
      </c>
      <c r="F62" s="17" t="s">
        <v>679</v>
      </c>
      <c r="G62" s="17" t="s">
        <v>678</v>
      </c>
      <c r="H62" s="22" t="s">
        <v>680</v>
      </c>
    </row>
    <row r="63" spans="1:8" ht="24" customHeight="1">
      <c r="A63" s="11" t="s">
        <v>681</v>
      </c>
      <c r="B63" s="12" t="s">
        <v>682</v>
      </c>
      <c r="C63" s="13" t="s">
        <v>683</v>
      </c>
      <c r="D63" s="11" t="s">
        <v>67</v>
      </c>
      <c r="E63" s="14" t="s">
        <v>469</v>
      </c>
      <c r="F63" s="17" t="s">
        <v>684</v>
      </c>
      <c r="G63" s="17" t="s">
        <v>685</v>
      </c>
      <c r="H63" s="22" t="s">
        <v>686</v>
      </c>
    </row>
    <row r="64" spans="1:8" ht="24" customHeight="1">
      <c r="A64" s="11" t="s">
        <v>681</v>
      </c>
      <c r="B64" s="12" t="s">
        <v>687</v>
      </c>
      <c r="C64" s="13" t="s">
        <v>688</v>
      </c>
      <c r="D64" s="11" t="s">
        <v>67</v>
      </c>
      <c r="E64" s="14" t="s">
        <v>469</v>
      </c>
      <c r="F64" s="17" t="s">
        <v>689</v>
      </c>
      <c r="G64" s="17" t="s">
        <v>685</v>
      </c>
      <c r="H64" s="22" t="s">
        <v>690</v>
      </c>
    </row>
    <row r="65" spans="1:8" ht="24" customHeight="1">
      <c r="A65" s="11" t="s">
        <v>681</v>
      </c>
      <c r="B65" s="12" t="s">
        <v>691</v>
      </c>
      <c r="C65" s="13" t="s">
        <v>134</v>
      </c>
      <c r="D65" s="11" t="s">
        <v>67</v>
      </c>
      <c r="E65" s="14" t="s">
        <v>469</v>
      </c>
      <c r="F65" s="17" t="s">
        <v>692</v>
      </c>
      <c r="G65" s="17" t="s">
        <v>685</v>
      </c>
      <c r="H65" s="22" t="s">
        <v>693</v>
      </c>
    </row>
    <row r="66" spans="1:8" ht="24" customHeight="1">
      <c r="A66" s="11" t="s">
        <v>681</v>
      </c>
      <c r="B66" s="12" t="s">
        <v>694</v>
      </c>
      <c r="C66" s="13" t="s">
        <v>695</v>
      </c>
      <c r="D66" s="11" t="s">
        <v>67</v>
      </c>
      <c r="E66" s="14" t="s">
        <v>469</v>
      </c>
      <c r="F66" s="17" t="s">
        <v>696</v>
      </c>
      <c r="G66" s="17" t="s">
        <v>685</v>
      </c>
      <c r="H66" s="22" t="s">
        <v>697</v>
      </c>
    </row>
    <row r="67" spans="1:8" ht="24" customHeight="1">
      <c r="A67" s="11" t="s">
        <v>698</v>
      </c>
      <c r="B67" s="12" t="s">
        <v>699</v>
      </c>
      <c r="C67" s="13" t="s">
        <v>700</v>
      </c>
      <c r="D67" s="11" t="s">
        <v>67</v>
      </c>
      <c r="E67" s="14" t="s">
        <v>469</v>
      </c>
      <c r="F67" s="17" t="s">
        <v>701</v>
      </c>
      <c r="G67" s="17" t="s">
        <v>702</v>
      </c>
      <c r="H67" s="22" t="s">
        <v>703</v>
      </c>
    </row>
    <row r="68" spans="1:8" ht="24" customHeight="1">
      <c r="A68" s="11" t="s">
        <v>698</v>
      </c>
      <c r="B68" s="12" t="s">
        <v>704</v>
      </c>
      <c r="C68" s="13" t="s">
        <v>705</v>
      </c>
      <c r="D68" s="11" t="s">
        <v>67</v>
      </c>
      <c r="E68" s="14" t="s">
        <v>469</v>
      </c>
      <c r="F68" s="17" t="s">
        <v>706</v>
      </c>
      <c r="G68" s="17" t="s">
        <v>702</v>
      </c>
      <c r="H68" s="22" t="s">
        <v>707</v>
      </c>
    </row>
    <row r="69" spans="1:8" ht="24" customHeight="1">
      <c r="A69" s="11" t="s">
        <v>698</v>
      </c>
      <c r="B69" s="12" t="s">
        <v>708</v>
      </c>
      <c r="C69" s="13" t="s">
        <v>709</v>
      </c>
      <c r="D69" s="11" t="s">
        <v>67</v>
      </c>
      <c r="E69" s="14" t="s">
        <v>710</v>
      </c>
      <c r="F69" s="17" t="s">
        <v>711</v>
      </c>
      <c r="G69" s="17" t="s">
        <v>702</v>
      </c>
      <c r="H69" s="22" t="s">
        <v>712</v>
      </c>
    </row>
    <row r="70" spans="1:8" ht="24" customHeight="1">
      <c r="A70" s="11" t="s">
        <v>698</v>
      </c>
      <c r="B70" s="12" t="s">
        <v>713</v>
      </c>
      <c r="C70" s="13" t="s">
        <v>714</v>
      </c>
      <c r="D70" s="11" t="s">
        <v>67</v>
      </c>
      <c r="E70" s="14" t="s">
        <v>469</v>
      </c>
      <c r="F70" s="17" t="s">
        <v>715</v>
      </c>
      <c r="G70" s="17" t="s">
        <v>702</v>
      </c>
      <c r="H70" s="22" t="s">
        <v>716</v>
      </c>
    </row>
    <row r="71" spans="1:8" ht="24" customHeight="1">
      <c r="A71" s="11" t="s">
        <v>698</v>
      </c>
      <c r="B71" s="12" t="s">
        <v>717</v>
      </c>
      <c r="C71" s="13" t="s">
        <v>718</v>
      </c>
      <c r="D71" s="11" t="s">
        <v>67</v>
      </c>
      <c r="E71" s="14" t="s">
        <v>710</v>
      </c>
      <c r="F71" s="17" t="s">
        <v>719</v>
      </c>
      <c r="G71" s="17" t="s">
        <v>702</v>
      </c>
      <c r="H71" s="22" t="s">
        <v>720</v>
      </c>
    </row>
    <row r="72" spans="1:8" ht="24" customHeight="1">
      <c r="A72" s="11" t="s">
        <v>698</v>
      </c>
      <c r="B72" s="12" t="s">
        <v>721</v>
      </c>
      <c r="C72" s="13" t="s">
        <v>722</v>
      </c>
      <c r="D72" s="11" t="s">
        <v>67</v>
      </c>
      <c r="E72" s="14" t="s">
        <v>723</v>
      </c>
      <c r="F72" s="17" t="s">
        <v>719</v>
      </c>
      <c r="G72" s="17" t="s">
        <v>702</v>
      </c>
      <c r="H72" s="18"/>
    </row>
    <row r="73" spans="1:8" ht="24" customHeight="1">
      <c r="A73" s="11" t="s">
        <v>724</v>
      </c>
      <c r="B73" s="12" t="s">
        <v>725</v>
      </c>
      <c r="C73" s="13" t="s">
        <v>726</v>
      </c>
      <c r="D73" s="11" t="s">
        <v>67</v>
      </c>
      <c r="E73" s="14" t="s">
        <v>469</v>
      </c>
      <c r="F73" s="17" t="s">
        <v>727</v>
      </c>
      <c r="G73" s="17" t="s">
        <v>728</v>
      </c>
      <c r="H73" s="22" t="s">
        <v>729</v>
      </c>
    </row>
    <row r="74" spans="1:8" ht="24" customHeight="1">
      <c r="A74" s="11" t="s">
        <v>724</v>
      </c>
      <c r="B74" s="12" t="s">
        <v>730</v>
      </c>
      <c r="C74" s="13" t="s">
        <v>731</v>
      </c>
      <c r="D74" s="11" t="s">
        <v>67</v>
      </c>
      <c r="E74" s="14" t="s">
        <v>469</v>
      </c>
      <c r="F74" s="17" t="s">
        <v>732</v>
      </c>
      <c r="G74" s="17" t="s">
        <v>733</v>
      </c>
      <c r="H74" s="22" t="s">
        <v>734</v>
      </c>
    </row>
    <row r="75" spans="1:8" ht="24" customHeight="1">
      <c r="A75" s="11" t="s">
        <v>724</v>
      </c>
      <c r="B75" s="12" t="s">
        <v>735</v>
      </c>
      <c r="C75" s="13" t="s">
        <v>736</v>
      </c>
      <c r="D75" s="11" t="s">
        <v>67</v>
      </c>
      <c r="E75" s="14" t="s">
        <v>469</v>
      </c>
      <c r="F75" s="17" t="s">
        <v>737</v>
      </c>
      <c r="G75" s="17" t="s">
        <v>738</v>
      </c>
      <c r="H75" s="22" t="s">
        <v>739</v>
      </c>
    </row>
    <row r="76" spans="1:8" ht="24" customHeight="1">
      <c r="A76" s="11" t="s">
        <v>724</v>
      </c>
      <c r="B76" s="12" t="s">
        <v>740</v>
      </c>
      <c r="C76" s="13" t="s">
        <v>741</v>
      </c>
      <c r="D76" s="11" t="s">
        <v>67</v>
      </c>
      <c r="E76" s="14" t="s">
        <v>469</v>
      </c>
      <c r="F76" s="17" t="s">
        <v>742</v>
      </c>
      <c r="G76" s="17" t="s">
        <v>743</v>
      </c>
      <c r="H76" s="22" t="s">
        <v>744</v>
      </c>
    </row>
    <row r="77" spans="1:8" ht="24" customHeight="1">
      <c r="A77" s="11" t="s">
        <v>724</v>
      </c>
      <c r="B77" s="12" t="s">
        <v>745</v>
      </c>
      <c r="C77" s="13" t="s">
        <v>746</v>
      </c>
      <c r="D77" s="11" t="s">
        <v>67</v>
      </c>
      <c r="E77" s="14" t="s">
        <v>469</v>
      </c>
      <c r="F77" s="17" t="s">
        <v>747</v>
      </c>
      <c r="G77" s="17" t="s">
        <v>748</v>
      </c>
      <c r="H77" s="22" t="s">
        <v>749</v>
      </c>
    </row>
    <row r="78" spans="1:8" ht="24" customHeight="1">
      <c r="A78" s="11" t="s">
        <v>724</v>
      </c>
      <c r="B78" s="12" t="s">
        <v>750</v>
      </c>
      <c r="C78" s="13" t="s">
        <v>751</v>
      </c>
      <c r="D78" s="11" t="s">
        <v>67</v>
      </c>
      <c r="E78" s="14" t="s">
        <v>469</v>
      </c>
      <c r="F78" s="17" t="s">
        <v>752</v>
      </c>
      <c r="G78" s="17" t="s">
        <v>753</v>
      </c>
      <c r="H78" s="22" t="s">
        <v>754</v>
      </c>
    </row>
    <row r="79" spans="1:8" ht="24" customHeight="1">
      <c r="A79" s="11" t="s">
        <v>724</v>
      </c>
      <c r="B79" s="12" t="s">
        <v>755</v>
      </c>
      <c r="C79" s="13" t="s">
        <v>756</v>
      </c>
      <c r="D79" s="11" t="s">
        <v>67</v>
      </c>
      <c r="E79" s="14" t="s">
        <v>469</v>
      </c>
      <c r="F79" s="17" t="s">
        <v>757</v>
      </c>
      <c r="G79" s="17" t="s">
        <v>758</v>
      </c>
      <c r="H79" s="22" t="s">
        <v>759</v>
      </c>
    </row>
    <row r="80" spans="1:8" ht="24" customHeight="1">
      <c r="A80" s="11" t="s">
        <v>724</v>
      </c>
      <c r="B80" s="12" t="s">
        <v>760</v>
      </c>
      <c r="C80" s="13" t="s">
        <v>761</v>
      </c>
      <c r="D80" s="11" t="s">
        <v>67</v>
      </c>
      <c r="E80" s="14" t="s">
        <v>469</v>
      </c>
      <c r="F80" s="17" t="s">
        <v>762</v>
      </c>
      <c r="G80" s="17" t="s">
        <v>763</v>
      </c>
      <c r="H80" s="22" t="s">
        <v>764</v>
      </c>
    </row>
    <row r="81" spans="1:8" ht="36" customHeight="1">
      <c r="A81" s="11" t="s">
        <v>765</v>
      </c>
      <c r="B81" s="12" t="s">
        <v>766</v>
      </c>
      <c r="C81" s="13" t="s">
        <v>767</v>
      </c>
      <c r="D81" s="11" t="s">
        <v>67</v>
      </c>
      <c r="E81" s="14" t="s">
        <v>469</v>
      </c>
      <c r="F81" s="17" t="s">
        <v>768</v>
      </c>
      <c r="G81" s="17" t="s">
        <v>769</v>
      </c>
      <c r="H81" s="22" t="s">
        <v>770</v>
      </c>
    </row>
    <row r="82" spans="1:8" ht="36" customHeight="1">
      <c r="A82" s="11" t="s">
        <v>765</v>
      </c>
      <c r="B82" s="12" t="s">
        <v>771</v>
      </c>
      <c r="C82" s="13" t="s">
        <v>772</v>
      </c>
      <c r="D82" s="11" t="s">
        <v>67</v>
      </c>
      <c r="E82" s="14" t="s">
        <v>469</v>
      </c>
      <c r="F82" s="17" t="s">
        <v>768</v>
      </c>
      <c r="G82" s="17" t="s">
        <v>769</v>
      </c>
      <c r="H82" s="22" t="s">
        <v>773</v>
      </c>
    </row>
    <row r="83" spans="1:8" ht="36" customHeight="1">
      <c r="A83" s="11" t="s">
        <v>765</v>
      </c>
      <c r="B83" s="12" t="s">
        <v>774</v>
      </c>
      <c r="C83" s="13" t="s">
        <v>775</v>
      </c>
      <c r="D83" s="11" t="s">
        <v>67</v>
      </c>
      <c r="E83" s="14" t="s">
        <v>469</v>
      </c>
      <c r="F83" s="17" t="s">
        <v>768</v>
      </c>
      <c r="G83" s="17" t="s">
        <v>769</v>
      </c>
      <c r="H83" s="22" t="s">
        <v>776</v>
      </c>
    </row>
    <row r="84" spans="1:8" ht="36" customHeight="1">
      <c r="A84" s="11" t="s">
        <v>765</v>
      </c>
      <c r="B84" s="12" t="s">
        <v>777</v>
      </c>
      <c r="C84" s="13" t="s">
        <v>778</v>
      </c>
      <c r="D84" s="11" t="s">
        <v>67</v>
      </c>
      <c r="E84" s="14" t="s">
        <v>469</v>
      </c>
      <c r="F84" s="17" t="s">
        <v>768</v>
      </c>
      <c r="G84" s="17" t="s">
        <v>769</v>
      </c>
      <c r="H84" s="22" t="s">
        <v>779</v>
      </c>
    </row>
    <row r="85" spans="1:8" ht="24" customHeight="1">
      <c r="A85" s="11" t="s">
        <v>765</v>
      </c>
      <c r="B85" s="12" t="s">
        <v>780</v>
      </c>
      <c r="C85" s="13" t="s">
        <v>781</v>
      </c>
      <c r="D85" s="11" t="s">
        <v>67</v>
      </c>
      <c r="E85" s="14" t="s">
        <v>469</v>
      </c>
      <c r="F85" s="17" t="s">
        <v>782</v>
      </c>
      <c r="G85" s="17" t="s">
        <v>781</v>
      </c>
      <c r="H85" s="22" t="s">
        <v>783</v>
      </c>
    </row>
    <row r="86" spans="1:8" ht="24" customHeight="1">
      <c r="A86" s="11" t="s">
        <v>784</v>
      </c>
      <c r="B86" s="12" t="s">
        <v>785</v>
      </c>
      <c r="C86" s="13" t="s">
        <v>786</v>
      </c>
      <c r="D86" s="11" t="s">
        <v>67</v>
      </c>
      <c r="E86" s="14" t="s">
        <v>469</v>
      </c>
      <c r="F86" s="17" t="s">
        <v>787</v>
      </c>
      <c r="G86" s="17" t="s">
        <v>788</v>
      </c>
      <c r="H86" s="22" t="s">
        <v>789</v>
      </c>
    </row>
    <row r="87" spans="1:8" ht="24" customHeight="1">
      <c r="A87" s="11" t="s">
        <v>784</v>
      </c>
      <c r="B87" s="12" t="s">
        <v>790</v>
      </c>
      <c r="C87" s="13" t="s">
        <v>791</v>
      </c>
      <c r="D87" s="11" t="s">
        <v>67</v>
      </c>
      <c r="E87" s="14" t="s">
        <v>469</v>
      </c>
      <c r="F87" s="17" t="s">
        <v>792</v>
      </c>
      <c r="G87" s="17" t="s">
        <v>788</v>
      </c>
      <c r="H87" s="22" t="s">
        <v>793</v>
      </c>
    </row>
    <row r="88" spans="1:8" ht="15" customHeight="1">
      <c r="A88" s="11" t="s">
        <v>603</v>
      </c>
      <c r="B88" s="12"/>
      <c r="C88" s="13" t="s">
        <v>794</v>
      </c>
      <c r="D88" s="11" t="s">
        <v>67</v>
      </c>
      <c r="E88" s="14" t="s">
        <v>469</v>
      </c>
      <c r="F88" s="17" t="s">
        <v>795</v>
      </c>
      <c r="G88" s="17" t="s">
        <v>795</v>
      </c>
      <c r="H88" s="25" t="s">
        <v>796</v>
      </c>
    </row>
    <row r="89" spans="1:8" ht="15" customHeight="1">
      <c r="A89" s="11" t="s">
        <v>724</v>
      </c>
      <c r="B89" s="12"/>
      <c r="C89" s="13" t="s">
        <v>797</v>
      </c>
      <c r="D89" s="11" t="s">
        <v>67</v>
      </c>
      <c r="E89" s="14" t="s">
        <v>469</v>
      </c>
      <c r="F89" s="17" t="s">
        <v>795</v>
      </c>
      <c r="G89" s="17" t="s">
        <v>795</v>
      </c>
      <c r="H89" s="25" t="s">
        <v>796</v>
      </c>
    </row>
    <row r="90" spans="1:8" ht="15" customHeight="1">
      <c r="A90" s="11" t="s">
        <v>724</v>
      </c>
      <c r="B90" s="12"/>
      <c r="C90" s="13" t="s">
        <v>798</v>
      </c>
      <c r="D90" s="11" t="s">
        <v>67</v>
      </c>
      <c r="E90" s="14" t="s">
        <v>469</v>
      </c>
      <c r="F90" s="17" t="s">
        <v>795</v>
      </c>
      <c r="G90" s="17" t="s">
        <v>795</v>
      </c>
      <c r="H90" s="25" t="s">
        <v>796</v>
      </c>
    </row>
    <row r="91" spans="1:8" ht="15" customHeight="1">
      <c r="A91" s="11" t="s">
        <v>724</v>
      </c>
      <c r="B91" s="12"/>
      <c r="C91" s="13" t="s">
        <v>799</v>
      </c>
      <c r="D91" s="11" t="s">
        <v>67</v>
      </c>
      <c r="E91" s="14" t="s">
        <v>469</v>
      </c>
      <c r="F91" s="17" t="s">
        <v>795</v>
      </c>
      <c r="G91" s="17" t="s">
        <v>795</v>
      </c>
      <c r="H91" s="25" t="s">
        <v>796</v>
      </c>
    </row>
    <row r="92" spans="1:8" ht="15" customHeight="1">
      <c r="A92" s="11" t="s">
        <v>724</v>
      </c>
      <c r="B92" s="12"/>
      <c r="C92" s="13" t="s">
        <v>800</v>
      </c>
      <c r="D92" s="11" t="s">
        <v>67</v>
      </c>
      <c r="E92" s="14" t="s">
        <v>469</v>
      </c>
      <c r="F92" s="17" t="s">
        <v>795</v>
      </c>
      <c r="G92" s="17" t="s">
        <v>795</v>
      </c>
      <c r="H92" s="25" t="s">
        <v>796</v>
      </c>
    </row>
    <row r="93" spans="1:8" ht="25.5" customHeight="1">
      <c r="A93" s="11" t="s">
        <v>681</v>
      </c>
      <c r="B93" s="12"/>
      <c r="C93" s="13" t="s">
        <v>801</v>
      </c>
      <c r="D93" s="11" t="s">
        <v>67</v>
      </c>
      <c r="E93" s="14" t="s">
        <v>469</v>
      </c>
      <c r="F93" s="17" t="s">
        <v>795</v>
      </c>
      <c r="G93" s="17" t="s">
        <v>685</v>
      </c>
      <c r="H93" s="25" t="s">
        <v>796</v>
      </c>
    </row>
    <row r="94" spans="1:8" ht="15" customHeight="1">
      <c r="A94" s="11" t="s">
        <v>802</v>
      </c>
      <c r="B94" s="12"/>
      <c r="C94" s="13" t="s">
        <v>803</v>
      </c>
      <c r="D94" s="11" t="s">
        <v>67</v>
      </c>
      <c r="E94" s="14" t="s">
        <v>469</v>
      </c>
      <c r="F94" s="17" t="s">
        <v>795</v>
      </c>
      <c r="G94" s="17" t="s">
        <v>657</v>
      </c>
      <c r="H94" s="25" t="s">
        <v>796</v>
      </c>
    </row>
    <row r="95" spans="1:8" ht="15" customHeight="1">
      <c r="A95" s="11" t="s">
        <v>804</v>
      </c>
      <c r="B95" s="12"/>
      <c r="C95" s="13" t="s">
        <v>805</v>
      </c>
      <c r="D95" s="11" t="s">
        <v>67</v>
      </c>
      <c r="E95" s="14" t="s">
        <v>469</v>
      </c>
      <c r="F95" s="17" t="s">
        <v>795</v>
      </c>
      <c r="G95" s="17" t="s">
        <v>795</v>
      </c>
      <c r="H95" s="25" t="s">
        <v>796</v>
      </c>
    </row>
    <row r="96" spans="1:8" ht="15" customHeight="1">
      <c r="A96" s="11" t="s">
        <v>804</v>
      </c>
      <c r="B96" s="12"/>
      <c r="C96" s="13" t="s">
        <v>806</v>
      </c>
      <c r="D96" s="11" t="s">
        <v>67</v>
      </c>
      <c r="E96" s="14" t="s">
        <v>469</v>
      </c>
      <c r="F96" s="17" t="s">
        <v>795</v>
      </c>
      <c r="G96" s="17" t="s">
        <v>795</v>
      </c>
      <c r="H96" s="25" t="s">
        <v>796</v>
      </c>
    </row>
    <row r="97" spans="1:8" ht="15" customHeight="1">
      <c r="A97" s="11" t="s">
        <v>807</v>
      </c>
      <c r="B97" s="12"/>
      <c r="C97" s="13" t="s">
        <v>808</v>
      </c>
      <c r="D97" s="11" t="s">
        <v>67</v>
      </c>
      <c r="E97" s="14" t="s">
        <v>469</v>
      </c>
      <c r="F97" s="17" t="s">
        <v>795</v>
      </c>
      <c r="G97" s="17" t="s">
        <v>795</v>
      </c>
      <c r="H97" s="25" t="s">
        <v>796</v>
      </c>
    </row>
    <row r="98" spans="1:8" ht="19.5" customHeight="1">
      <c r="A98" s="47" t="s">
        <v>290</v>
      </c>
      <c r="B98" s="47"/>
      <c r="C98" s="47"/>
      <c r="D98" s="47"/>
      <c r="E98" s="47"/>
      <c r="F98" s="4"/>
      <c r="G98" s="4"/>
      <c r="H98" s="4"/>
    </row>
    <row r="99" spans="1:8" ht="19.5" customHeight="1">
      <c r="A99" s="46" t="s">
        <v>809</v>
      </c>
      <c r="B99" s="46"/>
      <c r="C99" s="46"/>
      <c r="D99" s="46"/>
      <c r="E99" s="46"/>
      <c r="F99" s="46"/>
      <c r="G99" s="46"/>
      <c r="H99" s="46"/>
    </row>
    <row r="100" spans="1:8" ht="15" customHeight="1">
      <c r="A100" s="11" t="s">
        <v>466</v>
      </c>
      <c r="B100" s="12" t="s">
        <v>810</v>
      </c>
      <c r="C100" s="13" t="s">
        <v>470</v>
      </c>
      <c r="D100" s="11" t="s">
        <v>67</v>
      </c>
      <c r="E100" s="14" t="s">
        <v>811</v>
      </c>
      <c r="F100" s="18"/>
      <c r="G100" s="18"/>
      <c r="H100" s="22"/>
    </row>
    <row r="101" spans="1:8" ht="15" customHeight="1">
      <c r="A101" s="11" t="s">
        <v>466</v>
      </c>
      <c r="B101" s="12" t="s">
        <v>812</v>
      </c>
      <c r="C101" s="13" t="s">
        <v>479</v>
      </c>
      <c r="D101" s="11" t="s">
        <v>67</v>
      </c>
      <c r="E101" s="14" t="s">
        <v>811</v>
      </c>
      <c r="F101" s="18"/>
      <c r="G101" s="18"/>
      <c r="H101" s="22"/>
    </row>
    <row r="102" spans="1:8" ht="15" customHeight="1">
      <c r="A102" s="11" t="s">
        <v>466</v>
      </c>
      <c r="B102" s="12" t="s">
        <v>813</v>
      </c>
      <c r="C102" s="13" t="s">
        <v>485</v>
      </c>
      <c r="D102" s="11" t="s">
        <v>67</v>
      </c>
      <c r="E102" s="14" t="s">
        <v>811</v>
      </c>
      <c r="F102" s="18"/>
      <c r="G102" s="18"/>
      <c r="H102" s="22"/>
    </row>
    <row r="103" spans="1:8" ht="15" customHeight="1">
      <c r="A103" s="11" t="s">
        <v>466</v>
      </c>
      <c r="B103" s="12" t="s">
        <v>814</v>
      </c>
      <c r="C103" s="13" t="s">
        <v>491</v>
      </c>
      <c r="D103" s="11" t="s">
        <v>67</v>
      </c>
      <c r="E103" s="14" t="s">
        <v>811</v>
      </c>
      <c r="F103" s="18"/>
      <c r="G103" s="18"/>
      <c r="H103" s="22"/>
    </row>
    <row r="104" spans="1:8" ht="15" customHeight="1">
      <c r="A104" s="11" t="s">
        <v>466</v>
      </c>
      <c r="B104" s="12" t="s">
        <v>815</v>
      </c>
      <c r="C104" s="13" t="s">
        <v>497</v>
      </c>
      <c r="D104" s="11" t="s">
        <v>67</v>
      </c>
      <c r="E104" s="14" t="s">
        <v>811</v>
      </c>
      <c r="F104" s="18"/>
      <c r="G104" s="18"/>
      <c r="H104" s="22"/>
    </row>
    <row r="105" spans="1:8" ht="24" customHeight="1">
      <c r="A105" s="11" t="s">
        <v>466</v>
      </c>
      <c r="B105" s="12" t="s">
        <v>816</v>
      </c>
      <c r="C105" s="13" t="s">
        <v>503</v>
      </c>
      <c r="D105" s="11" t="s">
        <v>67</v>
      </c>
      <c r="E105" s="14" t="s">
        <v>811</v>
      </c>
      <c r="F105" s="18"/>
      <c r="G105" s="18"/>
      <c r="H105" s="22"/>
    </row>
    <row r="106" spans="1:8" ht="24" customHeight="1">
      <c r="A106" s="11" t="s">
        <v>466</v>
      </c>
      <c r="B106" s="12" t="s">
        <v>817</v>
      </c>
      <c r="C106" s="13" t="s">
        <v>507</v>
      </c>
      <c r="D106" s="11" t="s">
        <v>67</v>
      </c>
      <c r="E106" s="14" t="s">
        <v>811</v>
      </c>
      <c r="F106" s="18"/>
      <c r="G106" s="18"/>
      <c r="H106" s="22"/>
    </row>
    <row r="107" spans="1:8" ht="24" customHeight="1">
      <c r="A107" s="11" t="s">
        <v>466</v>
      </c>
      <c r="B107" s="12" t="s">
        <v>818</v>
      </c>
      <c r="C107" s="13" t="s">
        <v>514</v>
      </c>
      <c r="D107" s="11" t="s">
        <v>67</v>
      </c>
      <c r="E107" s="14" t="s">
        <v>811</v>
      </c>
      <c r="F107" s="18"/>
      <c r="G107" s="18"/>
      <c r="H107" s="22"/>
    </row>
    <row r="108" spans="1:8" ht="37.5" customHeight="1">
      <c r="A108" s="11" t="s">
        <v>466</v>
      </c>
      <c r="B108" s="12" t="s">
        <v>819</v>
      </c>
      <c r="C108" s="13" t="s">
        <v>520</v>
      </c>
      <c r="D108" s="11" t="s">
        <v>67</v>
      </c>
      <c r="E108" s="14" t="s">
        <v>820</v>
      </c>
      <c r="F108" s="18"/>
      <c r="G108" s="18"/>
      <c r="H108" s="22"/>
    </row>
    <row r="109" spans="1:8" ht="24" customHeight="1">
      <c r="A109" s="11" t="s">
        <v>523</v>
      </c>
      <c r="B109" s="12" t="s">
        <v>821</v>
      </c>
      <c r="C109" s="13" t="s">
        <v>526</v>
      </c>
      <c r="D109" s="11" t="s">
        <v>67</v>
      </c>
      <c r="E109" s="14" t="s">
        <v>811</v>
      </c>
      <c r="F109" s="18"/>
      <c r="G109" s="18"/>
      <c r="H109" s="22"/>
    </row>
    <row r="110" spans="1:8" ht="24" customHeight="1">
      <c r="A110" s="11" t="s">
        <v>523</v>
      </c>
      <c r="B110" s="12" t="s">
        <v>822</v>
      </c>
      <c r="C110" s="13" t="s">
        <v>531</v>
      </c>
      <c r="D110" s="11" t="s">
        <v>67</v>
      </c>
      <c r="E110" s="14" t="s">
        <v>811</v>
      </c>
      <c r="F110" s="18"/>
      <c r="G110" s="18"/>
      <c r="H110" s="22"/>
    </row>
    <row r="111" spans="1:8" ht="18" customHeight="1">
      <c r="A111" s="11" t="s">
        <v>523</v>
      </c>
      <c r="B111" s="12" t="s">
        <v>823</v>
      </c>
      <c r="C111" s="13" t="s">
        <v>535</v>
      </c>
      <c r="D111" s="11" t="s">
        <v>67</v>
      </c>
      <c r="E111" s="14" t="s">
        <v>811</v>
      </c>
      <c r="F111" s="18"/>
      <c r="G111" s="18"/>
      <c r="H111" s="22"/>
    </row>
    <row r="112" spans="1:8" ht="18" customHeight="1">
      <c r="A112" s="11" t="s">
        <v>523</v>
      </c>
      <c r="B112" s="12" t="s">
        <v>824</v>
      </c>
      <c r="C112" s="13" t="s">
        <v>541</v>
      </c>
      <c r="D112" s="11" t="s">
        <v>67</v>
      </c>
      <c r="E112" s="14" t="s">
        <v>811</v>
      </c>
      <c r="F112" s="18"/>
      <c r="G112" s="18"/>
      <c r="H112" s="22"/>
    </row>
    <row r="113" spans="1:8" ht="15" customHeight="1">
      <c r="A113" s="11" t="s">
        <v>523</v>
      </c>
      <c r="B113" s="12" t="s">
        <v>825</v>
      </c>
      <c r="C113" s="13" t="s">
        <v>547</v>
      </c>
      <c r="D113" s="11" t="s">
        <v>67</v>
      </c>
      <c r="E113" s="14" t="s">
        <v>811</v>
      </c>
      <c r="F113" s="18"/>
      <c r="G113" s="18"/>
      <c r="H113" s="22"/>
    </row>
    <row r="114" spans="1:8" ht="15" customHeight="1">
      <c r="A114" s="11" t="s">
        <v>523</v>
      </c>
      <c r="B114" s="12" t="s">
        <v>826</v>
      </c>
      <c r="C114" s="13" t="s">
        <v>551</v>
      </c>
      <c r="D114" s="11" t="s">
        <v>67</v>
      </c>
      <c r="E114" s="14" t="s">
        <v>811</v>
      </c>
      <c r="F114" s="18"/>
      <c r="G114" s="18"/>
      <c r="H114" s="22"/>
    </row>
    <row r="115" spans="1:8" ht="15" customHeight="1">
      <c r="A115" s="11" t="s">
        <v>523</v>
      </c>
      <c r="B115" s="12" t="s">
        <v>827</v>
      </c>
      <c r="C115" s="13" t="s">
        <v>554</v>
      </c>
      <c r="D115" s="11" t="s">
        <v>67</v>
      </c>
      <c r="E115" s="14" t="s">
        <v>811</v>
      </c>
      <c r="F115" s="18"/>
      <c r="G115" s="18"/>
      <c r="H115" s="22"/>
    </row>
    <row r="116" spans="1:8" ht="15" customHeight="1">
      <c r="A116" s="11" t="s">
        <v>523</v>
      </c>
      <c r="B116" s="12" t="s">
        <v>828</v>
      </c>
      <c r="C116" s="13" t="s">
        <v>559</v>
      </c>
      <c r="D116" s="11" t="s">
        <v>67</v>
      </c>
      <c r="E116" s="14" t="s">
        <v>811</v>
      </c>
      <c r="F116" s="18"/>
      <c r="G116" s="18"/>
      <c r="H116" s="22"/>
    </row>
    <row r="117" spans="1:8" ht="15" customHeight="1">
      <c r="A117" s="11" t="s">
        <v>523</v>
      </c>
      <c r="B117" s="12" t="s">
        <v>829</v>
      </c>
      <c r="C117" s="13" t="s">
        <v>563</v>
      </c>
      <c r="D117" s="11" t="s">
        <v>67</v>
      </c>
      <c r="E117" s="14" t="s">
        <v>811</v>
      </c>
      <c r="F117" s="18"/>
      <c r="G117" s="18"/>
      <c r="H117" s="22"/>
    </row>
    <row r="118" spans="1:8" ht="15" customHeight="1">
      <c r="A118" s="11" t="s">
        <v>523</v>
      </c>
      <c r="B118" s="12" t="s">
        <v>830</v>
      </c>
      <c r="C118" s="13" t="s">
        <v>567</v>
      </c>
      <c r="D118" s="11" t="s">
        <v>67</v>
      </c>
      <c r="E118" s="14" t="s">
        <v>811</v>
      </c>
      <c r="F118" s="18"/>
      <c r="G118" s="18"/>
      <c r="H118" s="22"/>
    </row>
    <row r="119" spans="1:8" ht="15" customHeight="1">
      <c r="A119" s="11" t="s">
        <v>523</v>
      </c>
      <c r="B119" s="12" t="s">
        <v>831</v>
      </c>
      <c r="C119" s="13" t="s">
        <v>571</v>
      </c>
      <c r="D119" s="11" t="s">
        <v>67</v>
      </c>
      <c r="E119" s="14" t="s">
        <v>811</v>
      </c>
      <c r="F119" s="18"/>
      <c r="G119" s="18"/>
      <c r="H119" s="22"/>
    </row>
    <row r="120" spans="1:8" ht="24" customHeight="1">
      <c r="A120" s="11" t="s">
        <v>523</v>
      </c>
      <c r="B120" s="12" t="s">
        <v>832</v>
      </c>
      <c r="C120" s="13" t="s">
        <v>575</v>
      </c>
      <c r="D120" s="11" t="s">
        <v>67</v>
      </c>
      <c r="E120" s="14" t="s">
        <v>820</v>
      </c>
      <c r="F120" s="18"/>
      <c r="G120" s="18"/>
      <c r="H120" s="22"/>
    </row>
    <row r="121" spans="1:8" ht="24" customHeight="1">
      <c r="A121" s="11" t="s">
        <v>523</v>
      </c>
      <c r="B121" s="12" t="s">
        <v>833</v>
      </c>
      <c r="C121" s="13" t="s">
        <v>580</v>
      </c>
      <c r="D121" s="11" t="s">
        <v>67</v>
      </c>
      <c r="E121" s="14" t="s">
        <v>820</v>
      </c>
      <c r="F121" s="18"/>
      <c r="G121" s="18"/>
      <c r="H121" s="22"/>
    </row>
    <row r="122" spans="1:8" ht="24" customHeight="1">
      <c r="A122" s="11" t="s">
        <v>523</v>
      </c>
      <c r="B122" s="12" t="s">
        <v>834</v>
      </c>
      <c r="C122" s="13" t="s">
        <v>584</v>
      </c>
      <c r="D122" s="11" t="s">
        <v>67</v>
      </c>
      <c r="E122" s="14" t="s">
        <v>820</v>
      </c>
      <c r="F122" s="18"/>
      <c r="G122" s="18"/>
      <c r="H122" s="22"/>
    </row>
    <row r="123" spans="1:8" ht="24" customHeight="1">
      <c r="A123" s="11" t="s">
        <v>523</v>
      </c>
      <c r="B123" s="12" t="s">
        <v>835</v>
      </c>
      <c r="C123" s="13" t="s">
        <v>588</v>
      </c>
      <c r="D123" s="11" t="s">
        <v>67</v>
      </c>
      <c r="E123" s="14" t="s">
        <v>820</v>
      </c>
      <c r="F123" s="18"/>
      <c r="G123" s="18"/>
      <c r="H123" s="22"/>
    </row>
    <row r="124" spans="1:8" ht="24" customHeight="1">
      <c r="A124" s="11" t="s">
        <v>523</v>
      </c>
      <c r="B124" s="12" t="s">
        <v>836</v>
      </c>
      <c r="C124" s="13" t="s">
        <v>592</v>
      </c>
      <c r="D124" s="11" t="s">
        <v>67</v>
      </c>
      <c r="E124" s="14" t="s">
        <v>820</v>
      </c>
      <c r="F124" s="18"/>
      <c r="G124" s="18"/>
      <c r="H124" s="22"/>
    </row>
    <row r="125" spans="1:8" ht="24" customHeight="1">
      <c r="A125" s="11" t="s">
        <v>523</v>
      </c>
      <c r="B125" s="12" t="s">
        <v>837</v>
      </c>
      <c r="C125" s="13" t="s">
        <v>596</v>
      </c>
      <c r="D125" s="11" t="s">
        <v>67</v>
      </c>
      <c r="E125" s="14" t="s">
        <v>820</v>
      </c>
      <c r="F125" s="18"/>
      <c r="G125" s="18"/>
      <c r="H125" s="22"/>
    </row>
    <row r="126" spans="1:8" ht="24" customHeight="1">
      <c r="A126" s="11" t="s">
        <v>523</v>
      </c>
      <c r="B126" s="12" t="s">
        <v>838</v>
      </c>
      <c r="C126" s="13" t="s">
        <v>600</v>
      </c>
      <c r="D126" s="11" t="s">
        <v>67</v>
      </c>
      <c r="E126" s="14" t="s">
        <v>820</v>
      </c>
      <c r="F126" s="18"/>
      <c r="G126" s="18"/>
      <c r="H126" s="22"/>
    </row>
    <row r="127" spans="1:8" ht="15" customHeight="1">
      <c r="A127" s="11" t="s">
        <v>603</v>
      </c>
      <c r="B127" s="12" t="s">
        <v>839</v>
      </c>
      <c r="C127" s="13" t="s">
        <v>606</v>
      </c>
      <c r="D127" s="11" t="s">
        <v>67</v>
      </c>
      <c r="E127" s="14" t="s">
        <v>811</v>
      </c>
      <c r="F127" s="18"/>
      <c r="G127" s="18"/>
      <c r="H127" s="22"/>
    </row>
    <row r="128" spans="1:8" ht="15" customHeight="1">
      <c r="A128" s="11" t="s">
        <v>603</v>
      </c>
      <c r="B128" s="12" t="s">
        <v>840</v>
      </c>
      <c r="C128" s="13" t="s">
        <v>614</v>
      </c>
      <c r="D128" s="11" t="s">
        <v>67</v>
      </c>
      <c r="E128" s="14" t="s">
        <v>811</v>
      </c>
      <c r="F128" s="18"/>
      <c r="G128" s="18"/>
      <c r="H128" s="22"/>
    </row>
    <row r="129" spans="1:8" ht="15" customHeight="1">
      <c r="A129" s="11" t="s">
        <v>603</v>
      </c>
      <c r="B129" s="12" t="s">
        <v>841</v>
      </c>
      <c r="C129" s="13" t="s">
        <v>620</v>
      </c>
      <c r="D129" s="11" t="s">
        <v>67</v>
      </c>
      <c r="E129" s="14" t="s">
        <v>811</v>
      </c>
      <c r="F129" s="18"/>
      <c r="G129" s="18"/>
      <c r="H129" s="22"/>
    </row>
    <row r="130" spans="1:8" ht="15" customHeight="1">
      <c r="A130" s="11" t="s">
        <v>603</v>
      </c>
      <c r="B130" s="12" t="s">
        <v>842</v>
      </c>
      <c r="C130" s="13" t="s">
        <v>626</v>
      </c>
      <c r="D130" s="11" t="s">
        <v>67</v>
      </c>
      <c r="E130" s="14" t="s">
        <v>811</v>
      </c>
      <c r="F130" s="18"/>
      <c r="G130" s="18"/>
      <c r="H130" s="22"/>
    </row>
    <row r="131" spans="1:8" ht="15" customHeight="1">
      <c r="A131" s="11" t="s">
        <v>603</v>
      </c>
      <c r="B131" s="12" t="s">
        <v>843</v>
      </c>
      <c r="C131" s="13" t="s">
        <v>632</v>
      </c>
      <c r="D131" s="11" t="s">
        <v>67</v>
      </c>
      <c r="E131" s="14" t="s">
        <v>811</v>
      </c>
      <c r="F131" s="18"/>
      <c r="G131" s="18"/>
      <c r="H131" s="22"/>
    </row>
    <row r="132" spans="1:8" ht="15" customHeight="1">
      <c r="A132" s="11" t="s">
        <v>603</v>
      </c>
      <c r="B132" s="12" t="s">
        <v>844</v>
      </c>
      <c r="C132" s="13" t="s">
        <v>636</v>
      </c>
      <c r="D132" s="11" t="s">
        <v>67</v>
      </c>
      <c r="E132" s="14" t="s">
        <v>811</v>
      </c>
      <c r="F132" s="18"/>
      <c r="G132" s="18"/>
      <c r="H132" s="22"/>
    </row>
    <row r="133" spans="1:8" ht="15" customHeight="1">
      <c r="A133" s="11" t="s">
        <v>603</v>
      </c>
      <c r="B133" s="12" t="s">
        <v>845</v>
      </c>
      <c r="C133" s="13" t="s">
        <v>642</v>
      </c>
      <c r="D133" s="11" t="s">
        <v>67</v>
      </c>
      <c r="E133" s="14" t="s">
        <v>811</v>
      </c>
      <c r="F133" s="18"/>
      <c r="G133" s="18"/>
      <c r="H133" s="22"/>
    </row>
    <row r="134" spans="1:8" ht="15" customHeight="1">
      <c r="A134" s="11" t="s">
        <v>603</v>
      </c>
      <c r="B134" s="12" t="s">
        <v>846</v>
      </c>
      <c r="C134" s="13" t="s">
        <v>649</v>
      </c>
      <c r="D134" s="11" t="s">
        <v>67</v>
      </c>
      <c r="E134" s="14" t="s">
        <v>811</v>
      </c>
      <c r="F134" s="18"/>
      <c r="G134" s="18"/>
      <c r="H134" s="22"/>
    </row>
    <row r="135" spans="1:8" ht="15" customHeight="1">
      <c r="A135" s="11" t="s">
        <v>653</v>
      </c>
      <c r="B135" s="12" t="s">
        <v>847</v>
      </c>
      <c r="C135" s="13" t="s">
        <v>656</v>
      </c>
      <c r="D135" s="11" t="s">
        <v>67</v>
      </c>
      <c r="E135" s="14" t="s">
        <v>811</v>
      </c>
      <c r="F135" s="18"/>
      <c r="G135" s="18"/>
      <c r="H135" s="22"/>
    </row>
    <row r="136" spans="1:8" ht="15" customHeight="1">
      <c r="A136" s="11" t="s">
        <v>653</v>
      </c>
      <c r="B136" s="12" t="s">
        <v>848</v>
      </c>
      <c r="C136" s="13" t="s">
        <v>663</v>
      </c>
      <c r="D136" s="11" t="s">
        <v>67</v>
      </c>
      <c r="E136" s="14" t="s">
        <v>811</v>
      </c>
      <c r="F136" s="18"/>
      <c r="G136" s="18"/>
      <c r="H136" s="22"/>
    </row>
    <row r="137" spans="1:8" ht="15" customHeight="1">
      <c r="A137" s="11" t="s">
        <v>665</v>
      </c>
      <c r="B137" s="12" t="s">
        <v>849</v>
      </c>
      <c r="C137" s="13" t="s">
        <v>668</v>
      </c>
      <c r="D137" s="11" t="s">
        <v>67</v>
      </c>
      <c r="E137" s="14" t="s">
        <v>811</v>
      </c>
      <c r="F137" s="18"/>
      <c r="G137" s="18"/>
      <c r="H137" s="22"/>
    </row>
    <row r="138" spans="1:8" ht="15" customHeight="1">
      <c r="A138" s="11" t="s">
        <v>665</v>
      </c>
      <c r="B138" s="12" t="s">
        <v>850</v>
      </c>
      <c r="C138" s="13" t="s">
        <v>672</v>
      </c>
      <c r="D138" s="11" t="s">
        <v>67</v>
      </c>
      <c r="E138" s="14" t="s">
        <v>811</v>
      </c>
      <c r="F138" s="18"/>
      <c r="G138" s="18"/>
      <c r="H138" s="22"/>
    </row>
    <row r="139" spans="1:8" ht="15" customHeight="1">
      <c r="A139" s="11" t="s">
        <v>665</v>
      </c>
      <c r="B139" s="12" t="s">
        <v>851</v>
      </c>
      <c r="C139" s="13" t="s">
        <v>679</v>
      </c>
      <c r="D139" s="11" t="s">
        <v>67</v>
      </c>
      <c r="E139" s="14" t="s">
        <v>811</v>
      </c>
      <c r="F139" s="18"/>
      <c r="G139" s="18"/>
      <c r="H139" s="22"/>
    </row>
    <row r="140" spans="1:8" ht="15" customHeight="1">
      <c r="A140" s="11" t="s">
        <v>681</v>
      </c>
      <c r="B140" s="12" t="s">
        <v>852</v>
      </c>
      <c r="C140" s="13" t="s">
        <v>684</v>
      </c>
      <c r="D140" s="11" t="s">
        <v>67</v>
      </c>
      <c r="E140" s="14" t="s">
        <v>811</v>
      </c>
      <c r="F140" s="18"/>
      <c r="G140" s="18"/>
      <c r="H140" s="22"/>
    </row>
    <row r="141" spans="1:8" ht="15" customHeight="1">
      <c r="A141" s="11" t="s">
        <v>681</v>
      </c>
      <c r="B141" s="12" t="s">
        <v>853</v>
      </c>
      <c r="C141" s="13" t="s">
        <v>689</v>
      </c>
      <c r="D141" s="11" t="s">
        <v>67</v>
      </c>
      <c r="E141" s="14" t="s">
        <v>811</v>
      </c>
      <c r="F141" s="18"/>
      <c r="G141" s="18"/>
      <c r="H141" s="22"/>
    </row>
    <row r="142" spans="1:8" ht="36" customHeight="1">
      <c r="A142" s="11" t="s">
        <v>681</v>
      </c>
      <c r="B142" s="12" t="s">
        <v>854</v>
      </c>
      <c r="C142" s="13" t="s">
        <v>692</v>
      </c>
      <c r="D142" s="11" t="s">
        <v>67</v>
      </c>
      <c r="E142" s="14" t="s">
        <v>811</v>
      </c>
      <c r="F142" s="18"/>
      <c r="G142" s="18"/>
      <c r="H142" s="22"/>
    </row>
    <row r="143" spans="1:8" ht="24" customHeight="1">
      <c r="A143" s="11" t="s">
        <v>681</v>
      </c>
      <c r="B143" s="12" t="s">
        <v>855</v>
      </c>
      <c r="C143" s="13" t="s">
        <v>696</v>
      </c>
      <c r="D143" s="11" t="s">
        <v>67</v>
      </c>
      <c r="E143" s="14" t="s">
        <v>811</v>
      </c>
      <c r="F143" s="18"/>
      <c r="G143" s="18"/>
      <c r="H143" s="22"/>
    </row>
    <row r="144" spans="1:8" ht="24" customHeight="1">
      <c r="A144" s="11" t="s">
        <v>698</v>
      </c>
      <c r="B144" s="12" t="s">
        <v>856</v>
      </c>
      <c r="C144" s="13" t="s">
        <v>701</v>
      </c>
      <c r="D144" s="11" t="s">
        <v>67</v>
      </c>
      <c r="E144" s="14" t="s">
        <v>811</v>
      </c>
      <c r="F144" s="18"/>
      <c r="G144" s="18"/>
      <c r="H144" s="22"/>
    </row>
    <row r="145" spans="1:8" ht="19.5" customHeight="1">
      <c r="A145" s="11" t="s">
        <v>698</v>
      </c>
      <c r="B145" s="12" t="s">
        <v>857</v>
      </c>
      <c r="C145" s="13" t="s">
        <v>706</v>
      </c>
      <c r="D145" s="11" t="s">
        <v>67</v>
      </c>
      <c r="E145" s="14" t="s">
        <v>811</v>
      </c>
      <c r="F145" s="18"/>
      <c r="G145" s="18"/>
      <c r="H145" s="22"/>
    </row>
    <row r="146" spans="1:8" ht="19.5" customHeight="1">
      <c r="A146" s="11" t="s">
        <v>698</v>
      </c>
      <c r="B146" s="12" t="s">
        <v>858</v>
      </c>
      <c r="C146" s="13" t="s">
        <v>711</v>
      </c>
      <c r="D146" s="11" t="s">
        <v>67</v>
      </c>
      <c r="E146" s="14" t="s">
        <v>811</v>
      </c>
      <c r="F146" s="18"/>
      <c r="G146" s="18"/>
      <c r="H146" s="22"/>
    </row>
    <row r="147" spans="1:8" ht="36" customHeight="1">
      <c r="A147" s="11" t="s">
        <v>698</v>
      </c>
      <c r="B147" s="12" t="s">
        <v>859</v>
      </c>
      <c r="C147" s="13" t="s">
        <v>715</v>
      </c>
      <c r="D147" s="11" t="s">
        <v>67</v>
      </c>
      <c r="E147" s="14" t="s">
        <v>811</v>
      </c>
      <c r="F147" s="18"/>
      <c r="G147" s="18"/>
      <c r="H147" s="22"/>
    </row>
    <row r="148" spans="1:8" ht="60" customHeight="1">
      <c r="A148" s="11" t="s">
        <v>698</v>
      </c>
      <c r="B148" s="12" t="s">
        <v>860</v>
      </c>
      <c r="C148" s="13" t="s">
        <v>719</v>
      </c>
      <c r="D148" s="11" t="s">
        <v>67</v>
      </c>
      <c r="E148" s="14" t="s">
        <v>811</v>
      </c>
      <c r="F148" s="18"/>
      <c r="G148" s="18"/>
      <c r="H148" s="22"/>
    </row>
    <row r="149" spans="1:8" ht="36" customHeight="1">
      <c r="A149" s="11" t="s">
        <v>724</v>
      </c>
      <c r="B149" s="12" t="s">
        <v>861</v>
      </c>
      <c r="C149" s="13" t="s">
        <v>727</v>
      </c>
      <c r="D149" s="11" t="s">
        <v>67</v>
      </c>
      <c r="E149" s="14" t="s">
        <v>811</v>
      </c>
      <c r="F149" s="18"/>
      <c r="G149" s="18"/>
      <c r="H149" s="22"/>
    </row>
    <row r="150" spans="1:8" ht="36" customHeight="1">
      <c r="A150" s="11" t="s">
        <v>724</v>
      </c>
      <c r="B150" s="12" t="s">
        <v>862</v>
      </c>
      <c r="C150" s="13" t="s">
        <v>732</v>
      </c>
      <c r="D150" s="11" t="s">
        <v>67</v>
      </c>
      <c r="E150" s="14" t="s">
        <v>811</v>
      </c>
      <c r="F150" s="18"/>
      <c r="G150" s="18"/>
      <c r="H150" s="22"/>
    </row>
    <row r="151" spans="1:8" ht="36" customHeight="1">
      <c r="A151" s="11" t="s">
        <v>724</v>
      </c>
      <c r="B151" s="12" t="s">
        <v>863</v>
      </c>
      <c r="C151" s="13" t="s">
        <v>737</v>
      </c>
      <c r="D151" s="11" t="s">
        <v>67</v>
      </c>
      <c r="E151" s="14" t="s">
        <v>864</v>
      </c>
      <c r="F151" s="18"/>
      <c r="G151" s="18"/>
      <c r="H151" s="22"/>
    </row>
    <row r="152" spans="1:8" ht="36" customHeight="1">
      <c r="A152" s="11" t="s">
        <v>724</v>
      </c>
      <c r="B152" s="12" t="s">
        <v>865</v>
      </c>
      <c r="C152" s="13" t="s">
        <v>742</v>
      </c>
      <c r="D152" s="11" t="s">
        <v>67</v>
      </c>
      <c r="E152" s="14" t="s">
        <v>864</v>
      </c>
      <c r="F152" s="18"/>
      <c r="G152" s="18"/>
      <c r="H152" s="22"/>
    </row>
    <row r="153" spans="1:8" ht="24" customHeight="1">
      <c r="A153" s="11" t="s">
        <v>724</v>
      </c>
      <c r="B153" s="12" t="s">
        <v>866</v>
      </c>
      <c r="C153" s="13" t="s">
        <v>747</v>
      </c>
      <c r="D153" s="11" t="s">
        <v>67</v>
      </c>
      <c r="E153" s="14" t="s">
        <v>864</v>
      </c>
      <c r="F153" s="18"/>
      <c r="G153" s="18"/>
      <c r="H153" s="22"/>
    </row>
    <row r="154" spans="1:8" ht="36" customHeight="1">
      <c r="A154" s="11" t="s">
        <v>724</v>
      </c>
      <c r="B154" s="12" t="s">
        <v>867</v>
      </c>
      <c r="C154" s="13" t="s">
        <v>752</v>
      </c>
      <c r="D154" s="11" t="s">
        <v>67</v>
      </c>
      <c r="E154" s="14" t="s">
        <v>864</v>
      </c>
      <c r="F154" s="18"/>
      <c r="G154" s="18"/>
      <c r="H154" s="22"/>
    </row>
    <row r="155" spans="1:8" ht="18.75" customHeight="1">
      <c r="A155" s="11" t="s">
        <v>724</v>
      </c>
      <c r="B155" s="12" t="s">
        <v>868</v>
      </c>
      <c r="C155" s="13" t="s">
        <v>757</v>
      </c>
      <c r="D155" s="11" t="s">
        <v>67</v>
      </c>
      <c r="E155" s="14" t="s">
        <v>864</v>
      </c>
      <c r="F155" s="18"/>
      <c r="G155" s="18"/>
      <c r="H155" s="22"/>
    </row>
    <row r="156" spans="1:8" ht="18.75" customHeight="1">
      <c r="A156" s="11" t="s">
        <v>724</v>
      </c>
      <c r="B156" s="12" t="s">
        <v>869</v>
      </c>
      <c r="C156" s="13" t="s">
        <v>762</v>
      </c>
      <c r="D156" s="11" t="s">
        <v>67</v>
      </c>
      <c r="E156" s="14" t="s">
        <v>864</v>
      </c>
      <c r="F156" s="18"/>
      <c r="G156" s="18"/>
      <c r="H156" s="22"/>
    </row>
    <row r="157" spans="1:8" ht="36" customHeight="1">
      <c r="A157" s="11" t="s">
        <v>781</v>
      </c>
      <c r="B157" s="12" t="s">
        <v>870</v>
      </c>
      <c r="C157" s="13" t="s">
        <v>782</v>
      </c>
      <c r="D157" s="11" t="s">
        <v>67</v>
      </c>
      <c r="E157" s="14" t="s">
        <v>871</v>
      </c>
      <c r="F157" s="18"/>
      <c r="G157" s="18"/>
      <c r="H157" s="22"/>
    </row>
    <row r="158" spans="1:8" ht="24" customHeight="1">
      <c r="A158" s="11" t="s">
        <v>784</v>
      </c>
      <c r="B158" s="12" t="s">
        <v>872</v>
      </c>
      <c r="C158" s="13" t="s">
        <v>787</v>
      </c>
      <c r="D158" s="11" t="s">
        <v>67</v>
      </c>
      <c r="E158" s="14" t="s">
        <v>873</v>
      </c>
      <c r="F158" s="18"/>
      <c r="G158" s="18"/>
      <c r="H158" s="22"/>
    </row>
    <row r="159" spans="1:8" ht="24" customHeight="1">
      <c r="A159" s="11" t="s">
        <v>784</v>
      </c>
      <c r="B159" s="12" t="s">
        <v>874</v>
      </c>
      <c r="C159" s="13" t="s">
        <v>792</v>
      </c>
      <c r="D159" s="11" t="s">
        <v>67</v>
      </c>
      <c r="E159" s="14" t="s">
        <v>875</v>
      </c>
      <c r="F159" s="18"/>
      <c r="G159" s="18"/>
      <c r="H159" s="22"/>
    </row>
    <row r="160" spans="1:8" ht="19.5" customHeight="1">
      <c r="A160" s="47" t="s">
        <v>357</v>
      </c>
      <c r="B160" s="47"/>
      <c r="C160" s="47"/>
      <c r="D160" s="47"/>
      <c r="E160" s="47"/>
      <c r="F160" s="4"/>
      <c r="G160" s="4"/>
      <c r="H160" s="4"/>
    </row>
    <row r="161" spans="1:8" ht="19.5" customHeight="1">
      <c r="A161" s="46" t="s">
        <v>876</v>
      </c>
      <c r="B161" s="46"/>
      <c r="C161" s="46"/>
      <c r="D161" s="46"/>
      <c r="E161" s="46"/>
      <c r="F161" s="46"/>
      <c r="G161" s="46"/>
      <c r="H161" s="46"/>
    </row>
    <row r="162" spans="1:8" ht="36" customHeight="1">
      <c r="A162" s="11" t="s">
        <v>466</v>
      </c>
      <c r="B162" s="12" t="s">
        <v>877</v>
      </c>
      <c r="C162" s="13" t="s">
        <v>878</v>
      </c>
      <c r="D162" s="11" t="s">
        <v>67</v>
      </c>
      <c r="E162" s="14" t="s">
        <v>879</v>
      </c>
      <c r="F162" s="18"/>
      <c r="G162" s="17" t="s">
        <v>471</v>
      </c>
      <c r="H162" s="22" t="s">
        <v>880</v>
      </c>
    </row>
    <row r="163" spans="1:8" ht="36" customHeight="1">
      <c r="A163" s="11" t="s">
        <v>466</v>
      </c>
      <c r="B163" s="12" t="s">
        <v>881</v>
      </c>
      <c r="C163" s="13" t="s">
        <v>882</v>
      </c>
      <c r="D163" s="11" t="s">
        <v>67</v>
      </c>
      <c r="E163" s="14" t="s">
        <v>879</v>
      </c>
      <c r="F163" s="18"/>
      <c r="G163" s="17" t="s">
        <v>471</v>
      </c>
      <c r="H163" s="22" t="s">
        <v>880</v>
      </c>
    </row>
    <row r="164" spans="1:8" ht="60" customHeight="1">
      <c r="A164" s="11" t="s">
        <v>523</v>
      </c>
      <c r="B164" s="12" t="s">
        <v>883</v>
      </c>
      <c r="C164" s="13" t="s">
        <v>884</v>
      </c>
      <c r="D164" s="11" t="s">
        <v>67</v>
      </c>
      <c r="E164" s="14" t="s">
        <v>879</v>
      </c>
      <c r="F164" s="18"/>
      <c r="G164" s="17" t="s">
        <v>527</v>
      </c>
      <c r="H164" s="22" t="s">
        <v>885</v>
      </c>
    </row>
    <row r="165" spans="1:8" ht="60" customHeight="1">
      <c r="A165" s="11" t="s">
        <v>523</v>
      </c>
      <c r="B165" s="12" t="s">
        <v>886</v>
      </c>
      <c r="C165" s="13" t="s">
        <v>887</v>
      </c>
      <c r="D165" s="11" t="s">
        <v>67</v>
      </c>
      <c r="E165" s="14" t="s">
        <v>879</v>
      </c>
      <c r="F165" s="18"/>
      <c r="G165" s="17" t="s">
        <v>527</v>
      </c>
      <c r="H165" s="22" t="s">
        <v>888</v>
      </c>
    </row>
    <row r="166" spans="1:8" ht="36" customHeight="1">
      <c r="A166" s="11" t="s">
        <v>603</v>
      </c>
      <c r="B166" s="12" t="s">
        <v>889</v>
      </c>
      <c r="C166" s="13" t="s">
        <v>890</v>
      </c>
      <c r="D166" s="11" t="s">
        <v>67</v>
      </c>
      <c r="E166" s="14" t="s">
        <v>879</v>
      </c>
      <c r="F166" s="18"/>
      <c r="G166" s="17" t="s">
        <v>607</v>
      </c>
      <c r="H166" s="22" t="s">
        <v>891</v>
      </c>
    </row>
    <row r="167" spans="1:8" ht="36" customHeight="1">
      <c r="A167" s="11" t="s">
        <v>603</v>
      </c>
      <c r="B167" s="12" t="s">
        <v>892</v>
      </c>
      <c r="C167" s="13" t="s">
        <v>893</v>
      </c>
      <c r="D167" s="11" t="s">
        <v>67</v>
      </c>
      <c r="E167" s="14" t="s">
        <v>879</v>
      </c>
      <c r="F167" s="18"/>
      <c r="G167" s="17" t="s">
        <v>607</v>
      </c>
      <c r="H167" s="22" t="s">
        <v>891</v>
      </c>
    </row>
    <row r="168" spans="1:8" ht="36" customHeight="1">
      <c r="A168" s="11" t="s">
        <v>466</v>
      </c>
      <c r="B168" s="12" t="s">
        <v>894</v>
      </c>
      <c r="C168" s="13" t="s">
        <v>895</v>
      </c>
      <c r="D168" s="11" t="s">
        <v>67</v>
      </c>
      <c r="E168" s="14" t="s">
        <v>896</v>
      </c>
      <c r="F168" s="18"/>
      <c r="G168" s="17" t="s">
        <v>508</v>
      </c>
      <c r="H168" s="22" t="s">
        <v>897</v>
      </c>
    </row>
    <row r="169" spans="1:8" ht="36" customHeight="1">
      <c r="A169" s="11" t="s">
        <v>466</v>
      </c>
      <c r="B169" s="12" t="s">
        <v>898</v>
      </c>
      <c r="C169" s="13" t="s">
        <v>899</v>
      </c>
      <c r="D169" s="11" t="s">
        <v>67</v>
      </c>
      <c r="E169" s="14" t="s">
        <v>896</v>
      </c>
      <c r="F169" s="18"/>
      <c r="G169" s="17" t="s">
        <v>508</v>
      </c>
      <c r="H169" s="22" t="s">
        <v>897</v>
      </c>
    </row>
    <row r="170" spans="1:8" ht="36" customHeight="1">
      <c r="A170" s="11" t="s">
        <v>681</v>
      </c>
      <c r="B170" s="12" t="s">
        <v>900</v>
      </c>
      <c r="C170" s="13" t="s">
        <v>901</v>
      </c>
      <c r="D170" s="11" t="s">
        <v>67</v>
      </c>
      <c r="E170" s="14" t="s">
        <v>896</v>
      </c>
      <c r="F170" s="18"/>
      <c r="G170" s="17" t="s">
        <v>685</v>
      </c>
      <c r="H170" s="22" t="s">
        <v>902</v>
      </c>
    </row>
    <row r="171" spans="1:8" ht="36" customHeight="1">
      <c r="A171" s="11" t="s">
        <v>903</v>
      </c>
      <c r="B171" s="12" t="s">
        <v>904</v>
      </c>
      <c r="C171" s="13" t="s">
        <v>905</v>
      </c>
      <c r="D171" s="11" t="s">
        <v>67</v>
      </c>
      <c r="E171" s="14" t="s">
        <v>896</v>
      </c>
      <c r="F171" s="18"/>
      <c r="G171" s="17" t="s">
        <v>657</v>
      </c>
      <c r="H171" s="22" t="s">
        <v>906</v>
      </c>
    </row>
    <row r="172" spans="1:8" ht="36" customHeight="1">
      <c r="A172" s="11" t="s">
        <v>903</v>
      </c>
      <c r="B172" s="12" t="s">
        <v>907</v>
      </c>
      <c r="C172" s="13" t="s">
        <v>908</v>
      </c>
      <c r="D172" s="11" t="s">
        <v>67</v>
      </c>
      <c r="E172" s="14" t="s">
        <v>896</v>
      </c>
      <c r="F172" s="18"/>
      <c r="G172" s="17" t="s">
        <v>657</v>
      </c>
      <c r="H172" s="22" t="s">
        <v>906</v>
      </c>
    </row>
    <row r="173" spans="1:8" ht="24" customHeight="1">
      <c r="A173" s="11" t="s">
        <v>678</v>
      </c>
      <c r="B173" s="12" t="s">
        <v>909</v>
      </c>
      <c r="C173" s="13" t="s">
        <v>910</v>
      </c>
      <c r="D173" s="11" t="s">
        <v>67</v>
      </c>
      <c r="E173" s="14" t="s">
        <v>896</v>
      </c>
      <c r="F173" s="18"/>
      <c r="G173" s="17" t="s">
        <v>678</v>
      </c>
      <c r="H173" s="22" t="s">
        <v>911</v>
      </c>
    </row>
    <row r="174" spans="1:8" ht="36" customHeight="1">
      <c r="A174" s="11" t="s">
        <v>698</v>
      </c>
      <c r="B174" s="12" t="s">
        <v>912</v>
      </c>
      <c r="C174" s="13" t="s">
        <v>913</v>
      </c>
      <c r="D174" s="11" t="s">
        <v>67</v>
      </c>
      <c r="E174" s="14" t="s">
        <v>896</v>
      </c>
      <c r="F174" s="18"/>
      <c r="G174" s="17" t="s">
        <v>702</v>
      </c>
      <c r="H174" s="22" t="s">
        <v>914</v>
      </c>
    </row>
    <row r="175" spans="1:8" ht="36" customHeight="1">
      <c r="A175" s="11" t="s">
        <v>698</v>
      </c>
      <c r="B175" s="12" t="s">
        <v>915</v>
      </c>
      <c r="C175" s="13" t="s">
        <v>916</v>
      </c>
      <c r="D175" s="11" t="s">
        <v>67</v>
      </c>
      <c r="E175" s="14" t="s">
        <v>896</v>
      </c>
      <c r="F175" s="18"/>
      <c r="G175" s="17" t="s">
        <v>702</v>
      </c>
      <c r="H175" s="22" t="s">
        <v>914</v>
      </c>
    </row>
    <row r="176" spans="1:8" ht="15" customHeight="1">
      <c r="A176" s="11" t="s">
        <v>570</v>
      </c>
      <c r="B176" s="12" t="s">
        <v>917</v>
      </c>
      <c r="C176" s="13" t="s">
        <v>918</v>
      </c>
      <c r="D176" s="11" t="s">
        <v>67</v>
      </c>
      <c r="E176" s="14" t="s">
        <v>896</v>
      </c>
      <c r="F176" s="18"/>
      <c r="G176" s="17" t="s">
        <v>570</v>
      </c>
      <c r="H176" s="22" t="s">
        <v>919</v>
      </c>
    </row>
    <row r="177" spans="1:8" ht="24" customHeight="1">
      <c r="A177" s="11" t="s">
        <v>724</v>
      </c>
      <c r="B177" s="12" t="s">
        <v>920</v>
      </c>
      <c r="C177" s="13" t="s">
        <v>921</v>
      </c>
      <c r="D177" s="11" t="s">
        <v>67</v>
      </c>
      <c r="E177" s="14" t="s">
        <v>896</v>
      </c>
      <c r="F177" s="18"/>
      <c r="G177" s="17" t="s">
        <v>728</v>
      </c>
      <c r="H177" s="22" t="s">
        <v>922</v>
      </c>
    </row>
    <row r="178" spans="1:8" ht="15" customHeight="1">
      <c r="A178" s="11" t="s">
        <v>724</v>
      </c>
      <c r="B178" s="12" t="s">
        <v>923</v>
      </c>
      <c r="C178" s="13" t="s">
        <v>924</v>
      </c>
      <c r="D178" s="11" t="s">
        <v>67</v>
      </c>
      <c r="E178" s="14" t="s">
        <v>896</v>
      </c>
      <c r="F178" s="18"/>
      <c r="G178" s="17" t="s">
        <v>728</v>
      </c>
      <c r="H178" s="22" t="s">
        <v>925</v>
      </c>
    </row>
    <row r="179" spans="1:8" ht="15" customHeight="1">
      <c r="A179" s="11" t="s">
        <v>724</v>
      </c>
      <c r="B179" s="12" t="s">
        <v>926</v>
      </c>
      <c r="C179" s="13" t="s">
        <v>927</v>
      </c>
      <c r="D179" s="11" t="s">
        <v>67</v>
      </c>
      <c r="E179" s="14" t="s">
        <v>896</v>
      </c>
      <c r="F179" s="18"/>
      <c r="G179" s="17" t="s">
        <v>733</v>
      </c>
      <c r="H179" s="22" t="s">
        <v>928</v>
      </c>
    </row>
    <row r="180" spans="1:8" ht="24" customHeight="1">
      <c r="A180" s="11" t="s">
        <v>724</v>
      </c>
      <c r="B180" s="12" t="s">
        <v>929</v>
      </c>
      <c r="C180" s="13" t="s">
        <v>930</v>
      </c>
      <c r="D180" s="11" t="s">
        <v>67</v>
      </c>
      <c r="E180" s="14" t="s">
        <v>896</v>
      </c>
      <c r="F180" s="18"/>
      <c r="G180" s="17" t="s">
        <v>733</v>
      </c>
      <c r="H180" s="22" t="s">
        <v>925</v>
      </c>
    </row>
    <row r="181" spans="1:8" ht="36" customHeight="1">
      <c r="A181" s="11" t="s">
        <v>724</v>
      </c>
      <c r="B181" s="12" t="s">
        <v>931</v>
      </c>
      <c r="C181" s="13" t="s">
        <v>932</v>
      </c>
      <c r="D181" s="11" t="s">
        <v>67</v>
      </c>
      <c r="E181" s="14" t="s">
        <v>896</v>
      </c>
      <c r="F181" s="18"/>
      <c r="G181" s="17" t="s">
        <v>738</v>
      </c>
      <c r="H181" s="22" t="s">
        <v>933</v>
      </c>
    </row>
    <row r="182" spans="1:8" ht="15" customHeight="1">
      <c r="A182" s="11" t="s">
        <v>724</v>
      </c>
      <c r="B182" s="12" t="s">
        <v>934</v>
      </c>
      <c r="C182" s="13" t="s">
        <v>935</v>
      </c>
      <c r="D182" s="11" t="s">
        <v>67</v>
      </c>
      <c r="E182" s="14" t="s">
        <v>896</v>
      </c>
      <c r="F182" s="18"/>
      <c r="G182" s="17" t="s">
        <v>738</v>
      </c>
      <c r="H182" s="22" t="s">
        <v>925</v>
      </c>
    </row>
    <row r="183" spans="1:8" ht="15" customHeight="1">
      <c r="A183" s="11" t="s">
        <v>724</v>
      </c>
      <c r="B183" s="12" t="s">
        <v>936</v>
      </c>
      <c r="C183" s="13" t="s">
        <v>937</v>
      </c>
      <c r="D183" s="11" t="s">
        <v>67</v>
      </c>
      <c r="E183" s="14" t="s">
        <v>896</v>
      </c>
      <c r="F183" s="18"/>
      <c r="G183" s="17" t="s">
        <v>743</v>
      </c>
      <c r="H183" s="22" t="s">
        <v>938</v>
      </c>
    </row>
    <row r="184" spans="1:8" ht="24" customHeight="1">
      <c r="A184" s="11" t="s">
        <v>724</v>
      </c>
      <c r="B184" s="12" t="s">
        <v>939</v>
      </c>
      <c r="C184" s="13" t="s">
        <v>940</v>
      </c>
      <c r="D184" s="11" t="s">
        <v>67</v>
      </c>
      <c r="E184" s="14" t="s">
        <v>896</v>
      </c>
      <c r="F184" s="18"/>
      <c r="G184" s="17" t="s">
        <v>743</v>
      </c>
      <c r="H184" s="22" t="s">
        <v>925</v>
      </c>
    </row>
    <row r="185" spans="1:8" ht="24" customHeight="1">
      <c r="A185" s="11" t="s">
        <v>724</v>
      </c>
      <c r="B185" s="12" t="s">
        <v>941</v>
      </c>
      <c r="C185" s="13" t="s">
        <v>942</v>
      </c>
      <c r="D185" s="11" t="s">
        <v>67</v>
      </c>
      <c r="E185" s="14" t="s">
        <v>896</v>
      </c>
      <c r="F185" s="18"/>
      <c r="G185" s="17" t="s">
        <v>748</v>
      </c>
      <c r="H185" s="22" t="s">
        <v>943</v>
      </c>
    </row>
    <row r="186" spans="1:8" ht="15" customHeight="1">
      <c r="A186" s="11" t="s">
        <v>724</v>
      </c>
      <c r="B186" s="12" t="s">
        <v>944</v>
      </c>
      <c r="C186" s="13" t="s">
        <v>945</v>
      </c>
      <c r="D186" s="11" t="s">
        <v>67</v>
      </c>
      <c r="E186" s="14" t="s">
        <v>896</v>
      </c>
      <c r="F186" s="18"/>
      <c r="G186" s="17" t="s">
        <v>748</v>
      </c>
      <c r="H186" s="22" t="s">
        <v>925</v>
      </c>
    </row>
    <row r="187" spans="1:8" ht="24" customHeight="1">
      <c r="A187" s="11" t="s">
        <v>724</v>
      </c>
      <c r="B187" s="12" t="s">
        <v>946</v>
      </c>
      <c r="C187" s="13" t="s">
        <v>947</v>
      </c>
      <c r="D187" s="11" t="s">
        <v>67</v>
      </c>
      <c r="E187" s="14" t="s">
        <v>896</v>
      </c>
      <c r="F187" s="18"/>
      <c r="G187" s="17" t="s">
        <v>753</v>
      </c>
      <c r="H187" s="22" t="s">
        <v>948</v>
      </c>
    </row>
    <row r="188" spans="1:8" ht="24" customHeight="1">
      <c r="A188" s="11" t="s">
        <v>724</v>
      </c>
      <c r="B188" s="12" t="s">
        <v>949</v>
      </c>
      <c r="C188" s="13" t="s">
        <v>950</v>
      </c>
      <c r="D188" s="11" t="s">
        <v>67</v>
      </c>
      <c r="E188" s="14" t="s">
        <v>896</v>
      </c>
      <c r="F188" s="18"/>
      <c r="G188" s="17" t="s">
        <v>753</v>
      </c>
      <c r="H188" s="22" t="s">
        <v>948</v>
      </c>
    </row>
    <row r="189" spans="1:8" ht="24" customHeight="1">
      <c r="A189" s="11" t="s">
        <v>724</v>
      </c>
      <c r="B189" s="12" t="s">
        <v>946</v>
      </c>
      <c r="C189" s="13" t="s">
        <v>951</v>
      </c>
      <c r="D189" s="11" t="s">
        <v>67</v>
      </c>
      <c r="E189" s="14" t="s">
        <v>896</v>
      </c>
      <c r="F189" s="18"/>
      <c r="G189" s="17" t="s">
        <v>753</v>
      </c>
      <c r="H189" s="22" t="s">
        <v>948</v>
      </c>
    </row>
    <row r="190" spans="1:8" ht="19.5" customHeight="1">
      <c r="A190" s="11" t="s">
        <v>724</v>
      </c>
      <c r="B190" s="12" t="s">
        <v>952</v>
      </c>
      <c r="C190" s="13" t="s">
        <v>953</v>
      </c>
      <c r="D190" s="11" t="s">
        <v>67</v>
      </c>
      <c r="E190" s="14" t="s">
        <v>896</v>
      </c>
      <c r="F190" s="18"/>
      <c r="G190" s="17" t="s">
        <v>758</v>
      </c>
      <c r="H190" s="22" t="s">
        <v>954</v>
      </c>
    </row>
    <row r="191" spans="1:8" ht="19.5" customHeight="1">
      <c r="A191" s="11" t="s">
        <v>724</v>
      </c>
      <c r="B191" s="12" t="s">
        <v>955</v>
      </c>
      <c r="C191" s="13" t="s">
        <v>956</v>
      </c>
      <c r="D191" s="11" t="s">
        <v>67</v>
      </c>
      <c r="E191" s="14" t="s">
        <v>896</v>
      </c>
      <c r="F191" s="18"/>
      <c r="G191" s="17" t="s">
        <v>758</v>
      </c>
      <c r="H191" s="22" t="s">
        <v>954</v>
      </c>
    </row>
    <row r="192" spans="1:8" ht="24" customHeight="1">
      <c r="A192" s="11" t="s">
        <v>724</v>
      </c>
      <c r="B192" s="12" t="s">
        <v>957</v>
      </c>
      <c r="C192" s="13" t="s">
        <v>958</v>
      </c>
      <c r="D192" s="11" t="s">
        <v>67</v>
      </c>
      <c r="E192" s="14" t="s">
        <v>896</v>
      </c>
      <c r="F192" s="18"/>
      <c r="G192" s="17" t="s">
        <v>763</v>
      </c>
      <c r="H192" s="22" t="s">
        <v>959</v>
      </c>
    </row>
    <row r="193" spans="1:8" ht="39" customHeight="1">
      <c r="A193" s="11" t="s">
        <v>724</v>
      </c>
      <c r="B193" s="12" t="s">
        <v>960</v>
      </c>
      <c r="C193" s="13" t="s">
        <v>961</v>
      </c>
      <c r="D193" s="11" t="s">
        <v>67</v>
      </c>
      <c r="E193" s="14" t="s">
        <v>896</v>
      </c>
      <c r="F193" s="18"/>
      <c r="G193" s="17" t="s">
        <v>763</v>
      </c>
      <c r="H193" s="22"/>
    </row>
    <row r="194" spans="1:8" ht="24" customHeight="1">
      <c r="A194" s="11" t="s">
        <v>724</v>
      </c>
      <c r="B194" s="12" t="s">
        <v>962</v>
      </c>
      <c r="C194" s="13" t="s">
        <v>963</v>
      </c>
      <c r="D194" s="11" t="s">
        <v>67</v>
      </c>
      <c r="E194" s="14" t="s">
        <v>896</v>
      </c>
      <c r="F194" s="18"/>
      <c r="G194" s="17" t="s">
        <v>763</v>
      </c>
      <c r="H194" s="22"/>
    </row>
    <row r="195" spans="1:8" ht="24" customHeight="1">
      <c r="A195" s="11" t="s">
        <v>724</v>
      </c>
      <c r="B195" s="12" t="s">
        <v>955</v>
      </c>
      <c r="C195" s="13" t="s">
        <v>964</v>
      </c>
      <c r="D195" s="11" t="s">
        <v>67</v>
      </c>
      <c r="E195" s="14" t="s">
        <v>896</v>
      </c>
      <c r="F195" s="18"/>
      <c r="G195" s="17" t="s">
        <v>758</v>
      </c>
      <c r="H195" s="22" t="s">
        <v>954</v>
      </c>
    </row>
    <row r="196" spans="1:8" ht="36" customHeight="1">
      <c r="A196" s="11" t="s">
        <v>724</v>
      </c>
      <c r="B196" s="12" t="s">
        <v>957</v>
      </c>
      <c r="C196" s="13" t="s">
        <v>965</v>
      </c>
      <c r="D196" s="11" t="s">
        <v>67</v>
      </c>
      <c r="E196" s="14" t="s">
        <v>896</v>
      </c>
      <c r="F196" s="18"/>
      <c r="G196" s="17" t="s">
        <v>763</v>
      </c>
      <c r="H196" s="22" t="s">
        <v>959</v>
      </c>
    </row>
    <row r="197" spans="1:8" ht="24" customHeight="1">
      <c r="A197" s="11" t="s">
        <v>724</v>
      </c>
      <c r="B197" s="12" t="s">
        <v>960</v>
      </c>
      <c r="C197" s="13" t="s">
        <v>961</v>
      </c>
      <c r="D197" s="11" t="s">
        <v>67</v>
      </c>
      <c r="E197" s="14" t="s">
        <v>896</v>
      </c>
      <c r="F197" s="18"/>
      <c r="G197" s="17" t="s">
        <v>763</v>
      </c>
      <c r="H197" s="22"/>
    </row>
    <row r="198" spans="1:8" ht="24" customHeight="1">
      <c r="A198" s="11" t="s">
        <v>466</v>
      </c>
      <c r="B198" s="12" t="s">
        <v>966</v>
      </c>
      <c r="C198" s="13" t="s">
        <v>967</v>
      </c>
      <c r="D198" s="11" t="s">
        <v>67</v>
      </c>
      <c r="E198" s="14" t="s">
        <v>968</v>
      </c>
      <c r="F198" s="18"/>
      <c r="G198" s="17" t="s">
        <v>521</v>
      </c>
      <c r="H198" s="22" t="s">
        <v>969</v>
      </c>
    </row>
    <row r="199" spans="1:8" ht="24" customHeight="1">
      <c r="A199" s="11" t="s">
        <v>523</v>
      </c>
      <c r="B199" s="12" t="s">
        <v>970</v>
      </c>
      <c r="C199" s="13" t="s">
        <v>971</v>
      </c>
      <c r="D199" s="11" t="s">
        <v>67</v>
      </c>
      <c r="E199" s="14" t="s">
        <v>896</v>
      </c>
      <c r="F199" s="18"/>
      <c r="G199" s="17" t="s">
        <v>576</v>
      </c>
      <c r="H199" s="22" t="s">
        <v>972</v>
      </c>
    </row>
    <row r="200" spans="1:8" ht="24" customHeight="1">
      <c r="A200" s="11" t="s">
        <v>765</v>
      </c>
      <c r="B200" s="12" t="s">
        <v>973</v>
      </c>
      <c r="C200" s="13" t="s">
        <v>974</v>
      </c>
      <c r="D200" s="11" t="s">
        <v>67</v>
      </c>
      <c r="E200" s="14" t="s">
        <v>896</v>
      </c>
      <c r="F200" s="18"/>
      <c r="G200" s="17" t="s">
        <v>769</v>
      </c>
      <c r="H200" s="22" t="s">
        <v>975</v>
      </c>
    </row>
    <row r="201" spans="1:8" ht="24" customHeight="1">
      <c r="A201" s="11" t="s">
        <v>781</v>
      </c>
      <c r="B201" s="12" t="s">
        <v>976</v>
      </c>
      <c r="C201" s="13" t="s">
        <v>977</v>
      </c>
      <c r="D201" s="11" t="s">
        <v>67</v>
      </c>
      <c r="E201" s="14" t="s">
        <v>896</v>
      </c>
      <c r="F201" s="18"/>
      <c r="G201" s="17" t="s">
        <v>781</v>
      </c>
      <c r="H201" s="22" t="s">
        <v>978</v>
      </c>
    </row>
    <row r="202" spans="1:8" ht="24" customHeight="1">
      <c r="A202" s="26" t="s">
        <v>979</v>
      </c>
      <c r="B202" s="27" t="s">
        <v>980</v>
      </c>
      <c r="C202" s="28" t="s">
        <v>981</v>
      </c>
      <c r="D202" s="26" t="s">
        <v>67</v>
      </c>
      <c r="E202" s="29" t="s">
        <v>982</v>
      </c>
      <c r="F202" s="30"/>
      <c r="G202" s="31" t="s">
        <v>527</v>
      </c>
      <c r="H202" s="32" t="s">
        <v>983</v>
      </c>
    </row>
    <row r="203" spans="1:8" ht="24" customHeight="1">
      <c r="A203" s="11" t="s">
        <v>979</v>
      </c>
      <c r="B203" s="12" t="s">
        <v>984</v>
      </c>
      <c r="C203" s="13" t="s">
        <v>985</v>
      </c>
      <c r="D203" s="11" t="s">
        <v>67</v>
      </c>
      <c r="E203" s="14" t="s">
        <v>986</v>
      </c>
      <c r="F203" s="18"/>
      <c r="G203" s="17" t="s">
        <v>601</v>
      </c>
      <c r="H203" s="22" t="s">
        <v>987</v>
      </c>
    </row>
    <row r="204" spans="1:8" ht="24" customHeight="1">
      <c r="A204" s="11" t="s">
        <v>784</v>
      </c>
      <c r="B204" s="12" t="s">
        <v>988</v>
      </c>
      <c r="C204" s="13" t="s">
        <v>989</v>
      </c>
      <c r="D204" s="11" t="s">
        <v>67</v>
      </c>
      <c r="E204" s="14" t="s">
        <v>990</v>
      </c>
      <c r="F204" s="18"/>
      <c r="G204" s="17" t="s">
        <v>788</v>
      </c>
      <c r="H204" s="22" t="s">
        <v>991</v>
      </c>
    </row>
    <row r="205" spans="1:8" ht="19.5" hidden="1" customHeight="1">
      <c r="A205" s="46" t="s">
        <v>992</v>
      </c>
      <c r="B205" s="46"/>
      <c r="C205" s="46"/>
      <c r="D205" s="46"/>
      <c r="E205" s="46"/>
      <c r="F205" s="46"/>
      <c r="G205" s="46"/>
      <c r="H205" s="46"/>
    </row>
    <row r="206" spans="1:8" ht="39" hidden="1" customHeight="1">
      <c r="A206" s="11" t="s">
        <v>446</v>
      </c>
      <c r="B206" s="12" t="s">
        <v>993</v>
      </c>
      <c r="C206" s="13" t="s">
        <v>994</v>
      </c>
      <c r="D206" s="11" t="s">
        <v>67</v>
      </c>
      <c r="E206" s="14" t="s">
        <v>995</v>
      </c>
      <c r="F206" s="18"/>
      <c r="G206" s="18"/>
      <c r="H206" s="22" t="s">
        <v>996</v>
      </c>
    </row>
    <row r="207" spans="1:8" ht="39" hidden="1" customHeight="1">
      <c r="A207" s="11" t="s">
        <v>446</v>
      </c>
      <c r="B207" s="12" t="s">
        <v>997</v>
      </c>
      <c r="C207" s="13" t="s">
        <v>994</v>
      </c>
      <c r="D207" s="11" t="s">
        <v>67</v>
      </c>
      <c r="E207" s="14" t="s">
        <v>998</v>
      </c>
      <c r="F207" s="18"/>
      <c r="G207" s="18"/>
      <c r="H207" s="22" t="s">
        <v>996</v>
      </c>
    </row>
    <row r="208" spans="1:8" ht="24" hidden="1" customHeight="1">
      <c r="A208" s="11" t="s">
        <v>446</v>
      </c>
      <c r="B208" s="12" t="s">
        <v>999</v>
      </c>
      <c r="C208" s="13" t="s">
        <v>1000</v>
      </c>
      <c r="D208" s="11" t="s">
        <v>67</v>
      </c>
      <c r="E208" s="14" t="s">
        <v>1001</v>
      </c>
      <c r="F208" s="18"/>
      <c r="G208" s="18"/>
      <c r="H208" s="22" t="s">
        <v>996</v>
      </c>
    </row>
    <row r="209" spans="1:8" ht="24" hidden="1" customHeight="1">
      <c r="A209" s="11" t="s">
        <v>446</v>
      </c>
      <c r="B209" s="12" t="s">
        <v>1002</v>
      </c>
      <c r="C209" s="13" t="s">
        <v>1003</v>
      </c>
      <c r="D209" s="11" t="s">
        <v>67</v>
      </c>
      <c r="E209" s="14" t="s">
        <v>1004</v>
      </c>
      <c r="F209" s="18"/>
      <c r="G209" s="18"/>
      <c r="H209" s="22" t="s">
        <v>996</v>
      </c>
    </row>
    <row r="210" spans="1:8" ht="24" hidden="1" customHeight="1">
      <c r="A210" s="11" t="s">
        <v>446</v>
      </c>
      <c r="B210" s="12" t="s">
        <v>1005</v>
      </c>
      <c r="C210" s="13" t="s">
        <v>1003</v>
      </c>
      <c r="D210" s="11" t="s">
        <v>67</v>
      </c>
      <c r="E210" s="14" t="s">
        <v>1006</v>
      </c>
      <c r="F210" s="18"/>
      <c r="G210" s="18"/>
      <c r="H210" s="22" t="s">
        <v>996</v>
      </c>
    </row>
    <row r="211" spans="1:8" ht="24" hidden="1" customHeight="1">
      <c r="A211" s="11" t="s">
        <v>446</v>
      </c>
      <c r="B211" s="12" t="s">
        <v>1007</v>
      </c>
      <c r="C211" s="13" t="s">
        <v>1008</v>
      </c>
      <c r="D211" s="11" t="s">
        <v>67</v>
      </c>
      <c r="E211" s="14" t="s">
        <v>1009</v>
      </c>
      <c r="F211" s="18"/>
      <c r="G211" s="18"/>
      <c r="H211" s="22" t="s">
        <v>996</v>
      </c>
    </row>
    <row r="212" spans="1:8" ht="24" hidden="1" customHeight="1">
      <c r="A212" s="11" t="s">
        <v>446</v>
      </c>
      <c r="B212" s="12" t="s">
        <v>1010</v>
      </c>
      <c r="C212" s="13" t="s">
        <v>1011</v>
      </c>
      <c r="D212" s="11" t="s">
        <v>67</v>
      </c>
      <c r="E212" s="14" t="s">
        <v>1012</v>
      </c>
      <c r="F212" s="18"/>
      <c r="G212" s="18"/>
      <c r="H212" s="22" t="s">
        <v>996</v>
      </c>
    </row>
    <row r="213" spans="1:8" ht="24" hidden="1" customHeight="1">
      <c r="A213" s="11" t="s">
        <v>446</v>
      </c>
      <c r="B213" s="12" t="s">
        <v>1013</v>
      </c>
      <c r="C213" s="13" t="s">
        <v>1014</v>
      </c>
      <c r="D213" s="11" t="s">
        <v>67</v>
      </c>
      <c r="E213" s="14" t="s">
        <v>1015</v>
      </c>
      <c r="F213" s="18"/>
      <c r="G213" s="18"/>
      <c r="H213" s="22" t="s">
        <v>996</v>
      </c>
    </row>
    <row r="214" spans="1:8" ht="24" hidden="1" customHeight="1">
      <c r="A214" s="11" t="s">
        <v>446</v>
      </c>
      <c r="B214" s="12" t="s">
        <v>1016</v>
      </c>
      <c r="C214" s="13" t="s">
        <v>1014</v>
      </c>
      <c r="D214" s="11" t="s">
        <v>67</v>
      </c>
      <c r="E214" s="14" t="s">
        <v>1017</v>
      </c>
      <c r="F214" s="18"/>
      <c r="G214" s="18"/>
      <c r="H214" s="22" t="s">
        <v>996</v>
      </c>
    </row>
    <row r="215" spans="1:8" ht="24" hidden="1" customHeight="1">
      <c r="A215" s="11" t="s">
        <v>446</v>
      </c>
      <c r="B215" s="12" t="s">
        <v>1018</v>
      </c>
      <c r="C215" s="13" t="s">
        <v>1019</v>
      </c>
      <c r="D215" s="11" t="s">
        <v>67</v>
      </c>
      <c r="E215" s="14" t="s">
        <v>1020</v>
      </c>
      <c r="F215" s="18"/>
      <c r="G215" s="18"/>
      <c r="H215" s="22" t="s">
        <v>996</v>
      </c>
    </row>
    <row r="216" spans="1:8" ht="24" hidden="1" customHeight="1">
      <c r="A216" s="11" t="s">
        <v>446</v>
      </c>
      <c r="B216" s="12" t="s">
        <v>1021</v>
      </c>
      <c r="C216" s="13" t="s">
        <v>1022</v>
      </c>
      <c r="D216" s="11" t="s">
        <v>67</v>
      </c>
      <c r="E216" s="14" t="s">
        <v>1023</v>
      </c>
      <c r="F216" s="18"/>
      <c r="G216" s="18"/>
      <c r="H216" s="22" t="s">
        <v>996</v>
      </c>
    </row>
    <row r="217" spans="1:8" ht="24" hidden="1" customHeight="1">
      <c r="A217" s="11" t="s">
        <v>446</v>
      </c>
      <c r="B217" s="12" t="s">
        <v>1024</v>
      </c>
      <c r="C217" s="13" t="s">
        <v>1025</v>
      </c>
      <c r="D217" s="11" t="s">
        <v>67</v>
      </c>
      <c r="E217" s="14" t="s">
        <v>1026</v>
      </c>
      <c r="F217" s="18"/>
      <c r="G217" s="18"/>
      <c r="H217" s="22" t="s">
        <v>996</v>
      </c>
    </row>
    <row r="218" spans="1:8" ht="15" hidden="1" customHeight="1">
      <c r="A218" s="11" t="s">
        <v>446</v>
      </c>
      <c r="B218" s="12"/>
      <c r="C218" s="13" t="s">
        <v>1027</v>
      </c>
      <c r="D218" s="11" t="s">
        <v>67</v>
      </c>
      <c r="E218" s="14" t="s">
        <v>1028</v>
      </c>
      <c r="F218" s="18"/>
      <c r="G218" s="18"/>
      <c r="H218" s="22" t="s">
        <v>455</v>
      </c>
    </row>
    <row r="219" spans="1:8" ht="15" hidden="1" customHeight="1">
      <c r="A219" s="11" t="s">
        <v>446</v>
      </c>
      <c r="B219" s="12"/>
      <c r="C219" s="13" t="s">
        <v>1029</v>
      </c>
      <c r="D219" s="11" t="s">
        <v>67</v>
      </c>
      <c r="E219" s="14" t="s">
        <v>460</v>
      </c>
      <c r="F219" s="18"/>
      <c r="G219" s="18"/>
      <c r="H219" s="22" t="s">
        <v>455</v>
      </c>
    </row>
    <row r="220" spans="1:8" ht="15" hidden="1" customHeight="1">
      <c r="A220" s="11" t="s">
        <v>446</v>
      </c>
      <c r="B220" s="12"/>
      <c r="C220" s="13" t="s">
        <v>461</v>
      </c>
      <c r="D220" s="11" t="s">
        <v>67</v>
      </c>
      <c r="E220" s="14" t="s">
        <v>462</v>
      </c>
      <c r="F220" s="18"/>
      <c r="G220" s="18"/>
      <c r="H220" s="22" t="s">
        <v>455</v>
      </c>
    </row>
    <row r="221" spans="1:8" ht="19.5" hidden="1" customHeight="1">
      <c r="A221" s="47" t="s">
        <v>463</v>
      </c>
      <c r="B221" s="47"/>
      <c r="C221" s="47"/>
      <c r="D221" s="47"/>
      <c r="E221" s="47"/>
      <c r="F221" s="4"/>
      <c r="G221" s="4"/>
      <c r="H221" s="4"/>
    </row>
    <row r="222" spans="1:8" ht="19.5" hidden="1" customHeight="1">
      <c r="A222" s="48" t="s">
        <v>1030</v>
      </c>
      <c r="B222" s="48"/>
      <c r="C222" s="48"/>
      <c r="D222" s="48"/>
      <c r="E222" s="48"/>
      <c r="F222" s="24"/>
      <c r="G222" s="24"/>
      <c r="H222" s="24"/>
    </row>
    <row r="223" spans="1:8" ht="15" customHeight="1"/>
  </sheetData>
  <mergeCells count="10">
    <mergeCell ref="A1:G1"/>
    <mergeCell ref="A2:H2"/>
    <mergeCell ref="A4:H4"/>
    <mergeCell ref="A205:H205"/>
    <mergeCell ref="A221:E221"/>
    <mergeCell ref="A222:E222"/>
    <mergeCell ref="A98:E98"/>
    <mergeCell ref="A99:H99"/>
    <mergeCell ref="A160:E160"/>
    <mergeCell ref="A161:H161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9"/>
  <sheetViews>
    <sheetView showGridLines="0" zoomScale="165" zoomScaleNormal="16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0" sqref="C10"/>
    </sheetView>
  </sheetViews>
  <sheetFormatPr baseColWidth="10" defaultColWidth="8.7109375" defaultRowHeight="15"/>
  <cols>
    <col min="1" max="1" width="12" customWidth="1"/>
    <col min="2" max="2" width="16" customWidth="1"/>
    <col min="3" max="3" width="34" customWidth="1"/>
    <col min="4" max="4" width="9" customWidth="1"/>
    <col min="5" max="5" width="16" customWidth="1"/>
    <col min="6" max="7" width="12" customWidth="1"/>
    <col min="8" max="8" width="11" customWidth="1"/>
    <col min="9" max="9" width="12" customWidth="1"/>
    <col min="10" max="11" width="13" customWidth="1"/>
    <col min="12" max="12" width="26" customWidth="1"/>
  </cols>
  <sheetData>
    <row r="1" spans="1:12" ht="21.75" customHeight="1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3" t="s">
        <v>1</v>
      </c>
      <c r="L1" s="43"/>
    </row>
    <row r="2" spans="1:12" ht="25.5" customHeight="1">
      <c r="A2" s="44" t="s">
        <v>1031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</row>
    <row r="3" spans="1:12" ht="15.75" customHeight="1">
      <c r="A3" s="45" t="s">
        <v>1032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</row>
    <row r="5" spans="1:12" ht="27.75" customHeight="1">
      <c r="A5" s="10" t="s">
        <v>1033</v>
      </c>
      <c r="B5" s="10" t="s">
        <v>1034</v>
      </c>
      <c r="C5" s="10" t="s">
        <v>1035</v>
      </c>
      <c r="D5" s="10" t="s">
        <v>56</v>
      </c>
      <c r="E5" s="10" t="s">
        <v>57</v>
      </c>
      <c r="F5" s="10" t="s">
        <v>1036</v>
      </c>
      <c r="G5" s="10" t="s">
        <v>1037</v>
      </c>
      <c r="H5" s="10" t="s">
        <v>1038</v>
      </c>
      <c r="I5" s="10" t="s">
        <v>59</v>
      </c>
      <c r="J5" s="10" t="s">
        <v>60</v>
      </c>
      <c r="K5" s="10" t="s">
        <v>1039</v>
      </c>
      <c r="L5" s="10" t="s">
        <v>63</v>
      </c>
    </row>
    <row r="6" spans="1:12" ht="19.5" customHeight="1">
      <c r="A6" s="46" t="s">
        <v>1040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ht="25.5" customHeight="1">
      <c r="A7" s="11" t="s">
        <v>1041</v>
      </c>
      <c r="B7" s="18" t="s">
        <v>1042</v>
      </c>
      <c r="C7" s="13" t="s">
        <v>1043</v>
      </c>
      <c r="D7" s="11" t="s">
        <v>67</v>
      </c>
      <c r="E7" s="12" t="s">
        <v>1044</v>
      </c>
      <c r="F7" s="33">
        <v>40</v>
      </c>
      <c r="G7" s="33"/>
      <c r="H7" s="20">
        <f t="shared" ref="H7:H14" si="0">F7+G7</f>
        <v>40</v>
      </c>
      <c r="I7" s="15">
        <v>15</v>
      </c>
      <c r="J7" s="16">
        <f t="shared" ref="J7:J14" si="1">H7*I7</f>
        <v>600</v>
      </c>
      <c r="K7" s="18"/>
      <c r="L7" s="34" t="s">
        <v>1045</v>
      </c>
    </row>
    <row r="8" spans="1:12" ht="25.5" customHeight="1">
      <c r="A8" s="11" t="s">
        <v>1041</v>
      </c>
      <c r="B8" s="18" t="s">
        <v>1046</v>
      </c>
      <c r="C8" s="13" t="s">
        <v>1047</v>
      </c>
      <c r="D8" s="11" t="s">
        <v>67</v>
      </c>
      <c r="E8" s="12" t="s">
        <v>1044</v>
      </c>
      <c r="F8" s="33">
        <v>20</v>
      </c>
      <c r="G8" s="33"/>
      <c r="H8" s="20">
        <f t="shared" si="0"/>
        <v>20</v>
      </c>
      <c r="I8" s="15">
        <v>15</v>
      </c>
      <c r="J8" s="16">
        <f t="shared" si="1"/>
        <v>300</v>
      </c>
      <c r="K8" s="18"/>
      <c r="L8" s="34" t="s">
        <v>1048</v>
      </c>
    </row>
    <row r="9" spans="1:12" ht="15" customHeight="1">
      <c r="A9" s="11" t="s">
        <v>1049</v>
      </c>
      <c r="B9" s="18" t="s">
        <v>1042</v>
      </c>
      <c r="C9" s="13" t="s">
        <v>1050</v>
      </c>
      <c r="D9" s="11" t="s">
        <v>67</v>
      </c>
      <c r="E9" s="12" t="s">
        <v>1051</v>
      </c>
      <c r="F9" s="33">
        <v>20</v>
      </c>
      <c r="G9" s="33"/>
      <c r="H9" s="20">
        <f t="shared" si="0"/>
        <v>20</v>
      </c>
      <c r="I9" s="15">
        <v>202.48</v>
      </c>
      <c r="J9" s="16">
        <f t="shared" si="1"/>
        <v>4049.6</v>
      </c>
      <c r="K9" s="18"/>
      <c r="L9" s="34" t="s">
        <v>1052</v>
      </c>
    </row>
    <row r="10" spans="1:12" ht="15" customHeight="1">
      <c r="A10" s="11" t="s">
        <v>1049</v>
      </c>
      <c r="B10" s="18" t="s">
        <v>1042</v>
      </c>
      <c r="C10" s="13" t="s">
        <v>1053</v>
      </c>
      <c r="D10" s="11" t="s">
        <v>67</v>
      </c>
      <c r="E10" s="12" t="s">
        <v>1054</v>
      </c>
      <c r="F10" s="33">
        <v>20</v>
      </c>
      <c r="G10" s="33"/>
      <c r="H10" s="20">
        <f t="shared" si="0"/>
        <v>20</v>
      </c>
      <c r="I10" s="15">
        <v>223.45</v>
      </c>
      <c r="J10" s="16">
        <f t="shared" si="1"/>
        <v>4469</v>
      </c>
      <c r="K10" s="18"/>
      <c r="L10" s="34" t="s">
        <v>1055</v>
      </c>
    </row>
    <row r="11" spans="1:12" ht="15" customHeight="1">
      <c r="A11" s="11" t="s">
        <v>1049</v>
      </c>
      <c r="B11" s="18" t="s">
        <v>1042</v>
      </c>
      <c r="C11" s="13" t="s">
        <v>1056</v>
      </c>
      <c r="D11" s="11" t="s">
        <v>67</v>
      </c>
      <c r="E11" s="12" t="s">
        <v>1057</v>
      </c>
      <c r="F11" s="33">
        <v>20</v>
      </c>
      <c r="G11" s="33"/>
      <c r="H11" s="20">
        <f t="shared" si="0"/>
        <v>20</v>
      </c>
      <c r="I11" s="15">
        <v>167.78</v>
      </c>
      <c r="J11" s="16">
        <f t="shared" si="1"/>
        <v>3355.6</v>
      </c>
      <c r="K11" s="18"/>
      <c r="L11" s="34" t="s">
        <v>1058</v>
      </c>
    </row>
    <row r="12" spans="1:12" ht="15" customHeight="1">
      <c r="A12" s="11" t="s">
        <v>1049</v>
      </c>
      <c r="B12" s="18" t="s">
        <v>1046</v>
      </c>
      <c r="C12" s="13" t="s">
        <v>1059</v>
      </c>
      <c r="D12" s="11" t="s">
        <v>67</v>
      </c>
      <c r="E12" s="12" t="s">
        <v>1060</v>
      </c>
      <c r="F12" s="33">
        <v>10</v>
      </c>
      <c r="G12" s="33"/>
      <c r="H12" s="20">
        <f t="shared" si="0"/>
        <v>10</v>
      </c>
      <c r="I12" s="15">
        <v>123.86</v>
      </c>
      <c r="J12" s="16">
        <f t="shared" si="1"/>
        <v>1238.5999999999999</v>
      </c>
      <c r="K12" s="18"/>
      <c r="L12" s="34" t="s">
        <v>1061</v>
      </c>
    </row>
    <row r="13" spans="1:12" ht="15" customHeight="1">
      <c r="A13" s="11" t="s">
        <v>1049</v>
      </c>
      <c r="B13" s="18" t="s">
        <v>1046</v>
      </c>
      <c r="C13" s="13" t="s">
        <v>1062</v>
      </c>
      <c r="D13" s="11" t="s">
        <v>67</v>
      </c>
      <c r="E13" s="12" t="s">
        <v>1060</v>
      </c>
      <c r="F13" s="33">
        <v>10</v>
      </c>
      <c r="G13" s="33"/>
      <c r="H13" s="20">
        <f t="shared" si="0"/>
        <v>10</v>
      </c>
      <c r="I13" s="15">
        <v>307.06</v>
      </c>
      <c r="J13" s="16">
        <f t="shared" si="1"/>
        <v>3070.6</v>
      </c>
      <c r="K13" s="18"/>
      <c r="L13" s="34" t="s">
        <v>1063</v>
      </c>
    </row>
    <row r="14" spans="1:12" ht="15" customHeight="1">
      <c r="A14" s="11" t="s">
        <v>1064</v>
      </c>
      <c r="B14" s="18"/>
      <c r="C14" s="13" t="s">
        <v>1065</v>
      </c>
      <c r="D14" s="11" t="s">
        <v>67</v>
      </c>
      <c r="E14" s="12" t="s">
        <v>1066</v>
      </c>
      <c r="F14" s="33"/>
      <c r="G14" s="33"/>
      <c r="H14" s="20">
        <f t="shared" si="0"/>
        <v>0</v>
      </c>
      <c r="I14" s="15"/>
      <c r="J14" s="16">
        <f t="shared" si="1"/>
        <v>0</v>
      </c>
      <c r="K14" s="18"/>
      <c r="L14" s="34" t="s">
        <v>1045</v>
      </c>
    </row>
    <row r="15" spans="1:12" ht="19.5" customHeight="1">
      <c r="A15" s="47" t="s">
        <v>290</v>
      </c>
      <c r="B15" s="47"/>
      <c r="C15" s="47"/>
      <c r="D15" s="47"/>
      <c r="E15" s="47"/>
      <c r="F15" s="47"/>
      <c r="G15" s="47"/>
      <c r="H15" s="47"/>
      <c r="I15" s="47"/>
      <c r="J15" s="19">
        <f>SUM(J7:J14)</f>
        <v>17083.400000000001</v>
      </c>
      <c r="K15" s="4"/>
      <c r="L15" s="4"/>
    </row>
    <row r="16" spans="1:12" ht="15" customHeight="1">
      <c r="A16" s="49" t="s">
        <v>1067</v>
      </c>
      <c r="B16" s="49"/>
      <c r="C16" s="49"/>
      <c r="D16" s="49"/>
      <c r="E16" s="49"/>
      <c r="F16" s="49"/>
      <c r="G16" s="49"/>
      <c r="H16" s="35">
        <f>SUM(H7:H14)</f>
        <v>140</v>
      </c>
    </row>
    <row r="17" spans="1:12" ht="19.5" customHeight="1">
      <c r="A17" s="46" t="s">
        <v>1068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ht="24" customHeight="1">
      <c r="A18" s="11" t="s">
        <v>358</v>
      </c>
      <c r="B18" s="18" t="s">
        <v>1069</v>
      </c>
      <c r="C18" s="13" t="s">
        <v>1070</v>
      </c>
      <c r="D18" s="11" t="s">
        <v>67</v>
      </c>
      <c r="E18" s="12" t="s">
        <v>1071</v>
      </c>
      <c r="F18" s="18">
        <v>1</v>
      </c>
      <c r="G18" s="18"/>
      <c r="H18" s="20">
        <f>K18</f>
        <v>1</v>
      </c>
      <c r="I18" s="15">
        <v>343</v>
      </c>
      <c r="J18" s="16">
        <f>H18*I18</f>
        <v>343</v>
      </c>
      <c r="K18" s="21">
        <v>1</v>
      </c>
      <c r="L18" s="22" t="s">
        <v>1072</v>
      </c>
    </row>
    <row r="19" spans="1:12" ht="19.5" customHeight="1">
      <c r="A19" s="47" t="s">
        <v>1073</v>
      </c>
      <c r="B19" s="47"/>
      <c r="C19" s="47"/>
      <c r="D19" s="47"/>
      <c r="E19" s="47"/>
      <c r="F19" s="47"/>
      <c r="G19" s="47"/>
      <c r="H19" s="47"/>
      <c r="I19" s="47"/>
      <c r="J19" s="19">
        <f>SUM(J18)</f>
        <v>343</v>
      </c>
      <c r="K19" s="4"/>
      <c r="L19" s="4"/>
    </row>
    <row r="20" spans="1:12" ht="19.5" customHeight="1">
      <c r="A20" s="46" t="s">
        <v>1074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ht="24" customHeight="1">
      <c r="A21" s="11" t="s">
        <v>291</v>
      </c>
      <c r="B21" s="18" t="s">
        <v>1069</v>
      </c>
      <c r="C21" s="13" t="s">
        <v>1075</v>
      </c>
      <c r="D21" s="11" t="s">
        <v>67</v>
      </c>
      <c r="E21" s="12"/>
      <c r="F21" s="18">
        <v>1</v>
      </c>
      <c r="G21" s="18"/>
      <c r="H21" s="20">
        <f>K21</f>
        <v>1</v>
      </c>
      <c r="I21" s="15">
        <v>90.27</v>
      </c>
      <c r="J21" s="16">
        <f>H21*I21</f>
        <v>90.27</v>
      </c>
      <c r="K21" s="21">
        <v>1</v>
      </c>
      <c r="L21" s="22" t="s">
        <v>1076</v>
      </c>
    </row>
    <row r="22" spans="1:12" ht="19.5" customHeight="1">
      <c r="A22" s="47" t="s">
        <v>1077</v>
      </c>
      <c r="B22" s="47"/>
      <c r="C22" s="47"/>
      <c r="D22" s="47"/>
      <c r="E22" s="47"/>
      <c r="F22" s="47"/>
      <c r="G22" s="47"/>
      <c r="H22" s="47"/>
      <c r="I22" s="47"/>
      <c r="J22" s="19">
        <f>SUM(J21)</f>
        <v>90.27</v>
      </c>
      <c r="K22" s="4"/>
      <c r="L22" s="4"/>
    </row>
    <row r="23" spans="1:12" ht="19.5" customHeight="1">
      <c r="A23" s="46" t="s">
        <v>1078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ht="15" customHeight="1">
      <c r="A24" s="11" t="s">
        <v>446</v>
      </c>
      <c r="B24" s="18"/>
      <c r="C24" s="13" t="s">
        <v>1079</v>
      </c>
      <c r="D24" s="11" t="s">
        <v>67</v>
      </c>
      <c r="E24" s="12" t="s">
        <v>1080</v>
      </c>
      <c r="F24" s="33"/>
      <c r="G24" s="18"/>
      <c r="H24" s="20">
        <f>F24</f>
        <v>0</v>
      </c>
      <c r="I24" s="15"/>
      <c r="J24" s="16">
        <f>H24*I24</f>
        <v>0</v>
      </c>
      <c r="K24" s="18"/>
      <c r="L24" s="34" t="s">
        <v>1081</v>
      </c>
    </row>
    <row r="25" spans="1:12" ht="15" customHeight="1">
      <c r="A25" s="11" t="s">
        <v>446</v>
      </c>
      <c r="B25" s="18"/>
      <c r="C25" s="13" t="s">
        <v>1082</v>
      </c>
      <c r="D25" s="11" t="s">
        <v>67</v>
      </c>
      <c r="E25" s="12" t="s">
        <v>1083</v>
      </c>
      <c r="F25" s="33"/>
      <c r="G25" s="18"/>
      <c r="H25" s="20">
        <f>F25</f>
        <v>0</v>
      </c>
      <c r="I25" s="15"/>
      <c r="J25" s="16">
        <f>H25*I25</f>
        <v>0</v>
      </c>
      <c r="K25" s="18"/>
      <c r="L25" s="34" t="s">
        <v>1084</v>
      </c>
    </row>
    <row r="26" spans="1:12" ht="25.5" customHeight="1">
      <c r="A26" s="11" t="s">
        <v>446</v>
      </c>
      <c r="B26" s="18"/>
      <c r="C26" s="13" t="s">
        <v>1085</v>
      </c>
      <c r="D26" s="11" t="s">
        <v>67</v>
      </c>
      <c r="E26" s="12" t="s">
        <v>1086</v>
      </c>
      <c r="F26" s="33"/>
      <c r="G26" s="18"/>
      <c r="H26" s="20">
        <f>F26</f>
        <v>0</v>
      </c>
      <c r="I26" s="15"/>
      <c r="J26" s="16">
        <f>H26*I26</f>
        <v>0</v>
      </c>
      <c r="K26" s="18"/>
      <c r="L26" s="34" t="s">
        <v>455</v>
      </c>
    </row>
    <row r="27" spans="1:12" ht="15" customHeight="1">
      <c r="A27" s="11" t="s">
        <v>446</v>
      </c>
      <c r="B27" s="18"/>
      <c r="C27" s="13" t="s">
        <v>461</v>
      </c>
      <c r="D27" s="11" t="s">
        <v>67</v>
      </c>
      <c r="E27" s="12" t="s">
        <v>462</v>
      </c>
      <c r="F27" s="33"/>
      <c r="G27" s="18"/>
      <c r="H27" s="20">
        <f>F27</f>
        <v>0</v>
      </c>
      <c r="I27" s="15"/>
      <c r="J27" s="16">
        <f>H27*I27</f>
        <v>0</v>
      </c>
      <c r="K27" s="18"/>
      <c r="L27" s="34" t="s">
        <v>455</v>
      </c>
    </row>
    <row r="28" spans="1:12" ht="19.5" customHeight="1">
      <c r="A28" s="47" t="s">
        <v>463</v>
      </c>
      <c r="B28" s="47"/>
      <c r="C28" s="47"/>
      <c r="D28" s="47"/>
      <c r="E28" s="47"/>
      <c r="F28" s="47"/>
      <c r="G28" s="47"/>
      <c r="H28" s="47"/>
      <c r="I28" s="47"/>
      <c r="J28" s="19">
        <f>SUM(J24:J27)</f>
        <v>0</v>
      </c>
      <c r="K28" s="4"/>
      <c r="L28" s="4"/>
    </row>
    <row r="29" spans="1:12" ht="19.5" customHeight="1">
      <c r="A29" s="48" t="s">
        <v>1087</v>
      </c>
      <c r="B29" s="48"/>
      <c r="C29" s="48"/>
      <c r="D29" s="48"/>
      <c r="E29" s="48"/>
      <c r="F29" s="48"/>
      <c r="G29" s="48"/>
      <c r="H29" s="48"/>
      <c r="I29" s="48"/>
      <c r="J29" s="23">
        <f>J15+J19+J22+J28</f>
        <v>17516.670000000002</v>
      </c>
      <c r="K29" s="24"/>
      <c r="L29" s="24"/>
    </row>
  </sheetData>
  <mergeCells count="14">
    <mergeCell ref="A1:J1"/>
    <mergeCell ref="K1:L1"/>
    <mergeCell ref="A2:L2"/>
    <mergeCell ref="A3:L3"/>
    <mergeCell ref="A6:L6"/>
    <mergeCell ref="A22:I22"/>
    <mergeCell ref="A23:L23"/>
    <mergeCell ref="A28:I28"/>
    <mergeCell ref="A29:I29"/>
    <mergeCell ref="A15:I15"/>
    <mergeCell ref="A16:G16"/>
    <mergeCell ref="A17:L17"/>
    <mergeCell ref="A19:I19"/>
    <mergeCell ref="A20:L20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Inicio</vt:lpstr>
      <vt:lpstr>Parámetros</vt:lpstr>
      <vt:lpstr>BS-230 Química</vt:lpstr>
      <vt:lpstr>CL-900i CLIA</vt:lpstr>
      <vt:lpstr>Hematología BC-5380-5000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Rafael Jimenez</cp:lastModifiedBy>
  <cp:revision>0</cp:revision>
  <cp:lastPrinted>2026-06-19T00:02:38Z</cp:lastPrinted>
  <dcterms:created xsi:type="dcterms:W3CDTF">2026-06-02T14:37:52Z</dcterms:created>
  <dcterms:modified xsi:type="dcterms:W3CDTF">2026-08-28T17:52:54Z</dcterms:modified>
  <dc:language>en-US</dc:language>
</cp:coreProperties>
</file>