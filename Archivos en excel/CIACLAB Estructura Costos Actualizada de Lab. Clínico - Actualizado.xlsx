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 PARAMETROS Y CC" state="visible" r:id="rId4"/>
    <sheet sheetId="2" name="1. ESTANDAR EQUIPOS (INSERTOS)" state="visible" r:id="rId5"/>
    <sheet sheetId="3" name="2. COSTOS PRUEBAS RAPIDAS" state="visible" r:id="rId6"/>
    <sheet sheetId="4" name="3. MMQ Y CONSUMIBLES" state="visible" r:id="rId7"/>
    <sheet sheetId="5" name="4. NOMINA Y GASTOS PERSONAL" state="visible" r:id="rId8"/>
    <sheet sheetId="6" name="5. FLUJO Y ESTRUCTURA MES" state="visible" r:id="rId9"/>
    <sheet sheetId="7" name="6. LISTA DE PRODUCTOS LAB CLIN" state="visible" r:id="rId10"/>
  </sheets>
  <calcPr calcId="171027"/>
</workbook>
</file>

<file path=xl/sharedStrings.xml><?xml version="1.0" encoding="utf-8"?>
<sst xmlns="http://schemas.openxmlformats.org/spreadsheetml/2006/main" count="3284" uniqueCount="1627">
  <si>
    <t>CENTRO DE INVESTIGACIÓN Y ATENCIÓN CIENTÍFICA, C.A. (CIACLAB)</t>
  </si>
  <si>
    <t xml:space="preserve">PLANTILLA ECONÓMICA FINANCIERA ESTANDARIZADA - MATRIZ INTEGRAL DE COSTOS REALES </t>
  </si>
  <si>
    <t>1. PARÁMETROS GENERALES DE OPERACIÓN DE CIACLAB</t>
  </si>
  <si>
    <t>Parámetro Operativo / Financiero</t>
  </si>
  <si>
    <t>Valor</t>
  </si>
  <si>
    <t>Unidad de Medida</t>
  </si>
  <si>
    <t>Origen / Criterio de Cálculo</t>
  </si>
  <si>
    <t>Tasa Cambiaria Oficial de Referencia (BCV)</t>
  </si>
  <si>
    <t>Bs./$</t>
  </si>
  <si>
    <t>Tasa oficial promedio de cierre contable</t>
  </si>
  <si>
    <t>Volumen Mensual Proyectado (Pruebas Totales)</t>
  </si>
  <si>
    <t>Pruebas/Mes</t>
  </si>
  <si>
    <t>Capacidad promedio operativa mensual proyectada</t>
  </si>
  <si>
    <t>Factor de Merma / Pérdida Técnica (Inserto / Reactivo)</t>
  </si>
  <si>
    <t>%</t>
  </si>
  <si>
    <t>Proporción para calibradores, controles y volumen muerto (8%)</t>
  </si>
  <si>
    <t>Presupuesto Base Gastos Fijos (OPEX / Indirectos)</t>
  </si>
  <si>
    <t>$/Mes</t>
  </si>
  <si>
    <t>Total egresos fijos operacionales (CC-400) según Flujo de Caja</t>
  </si>
  <si>
    <t>Cuota de Absorción Indirecta por Prueba</t>
  </si>
  <si>
    <t>$/Examen</t>
  </si>
  <si>
    <t>Factor de distribución fija asignado a cada examen (=OPEX/Volumen)</t>
  </si>
  <si>
    <t>2. ESTRUCTURA DE CENTROS DE COSTOS Y UNIDADES DE NEGOCIO (PARA PARAMETRIZAR ODOO)</t>
  </si>
  <si>
    <t>Código CC Odoo</t>
  </si>
  <si>
    <t>Nombre Centro de Costo</t>
  </si>
  <si>
    <t>Unidad de Negocio / Servicio</t>
  </si>
  <si>
    <t>Tipo de Costo Dominante</t>
  </si>
  <si>
    <t>Regla de Asignación Contable</t>
  </si>
  <si>
    <t>CC-100</t>
  </si>
  <si>
    <t>Laboratorio Clínico Ambulatorio</t>
  </si>
  <si>
    <t>Laboratorio Central / Pruebas Internas</t>
  </si>
  <si>
    <t>Costo Directo Variable (Reactivos + MMQ)</t>
  </si>
  <si>
    <t>Rendimiento por Inserto Comercial + Consumibles MMQ</t>
  </si>
  <si>
    <t>CC-200</t>
  </si>
  <si>
    <t>Laboratorios de Referencia</t>
  </si>
  <si>
    <t>Pruebas Especiales y Bacteriología / Referencia</t>
  </si>
  <si>
    <t>Costo Directo Subcontratado</t>
  </si>
  <si>
    <t>Factura Directa por Examen Procesado Externamente</t>
  </si>
  <si>
    <t>CC-300</t>
  </si>
  <si>
    <t>Servicios Médicos y Consultas</t>
  </si>
  <si>
    <t>Atención Médica Amb. + Emergencias / Alianzas ONT</t>
  </si>
  <si>
    <t>Costo Variable / MOD Médico</t>
  </si>
  <si>
    <t>Honorario Porcentual / Mapeo por Paciente Atendido</t>
  </si>
  <si>
    <t>CC-400</t>
  </si>
  <si>
    <t>Gastos Operativos, Sede y Administración</t>
  </si>
  <si>
    <t>Gestión Corporativa / Infraestructura CIACLAB</t>
  </si>
  <si>
    <t>Gasto Fijo / OPEX / CIF</t>
  </si>
  <si>
    <t>Prorrateo Masivo por Tasa de Absorción en Cada Examen</t>
  </si>
  <si>
    <t>ESTÁNDAR DE CONSUMO POR PRESENTACIÓN COMERCIAL / INSERTO DE EQUIPOS ANALIZADORES</t>
  </si>
  <si>
    <t>RAFAEL FAVOR COMPLETAR LISTA DE REACTIVOS Y/O PRUEBAS RAPIDAS Y EXAMEN PROCESADO</t>
  </si>
  <si>
    <t>ITEM</t>
  </si>
  <si>
    <t>Equipo / Analizador</t>
  </si>
  <si>
    <t>Área Técnica</t>
  </si>
  <si>
    <t>Nombre del Reactivo y/o Prueba Rapida que se Compra</t>
  </si>
  <si>
    <t>Nombre de las Pruebas y/o Perfiles que se Porcesan con este Reactivo</t>
  </si>
  <si>
    <t>Presentación Comercial (Manejo)</t>
  </si>
  <si>
    <t>Rendimiento Teórico (Inserto)</t>
  </si>
  <si>
    <t>% Merma / Calibración</t>
  </si>
  <si>
    <t>Rendimiento Efectivo (Pruebas)</t>
  </si>
  <si>
    <t>Costo Presentación ($)</t>
  </si>
  <si>
    <t>Costo Directo Estándar / Prueba ($)</t>
  </si>
  <si>
    <t>Proveedor Principal</t>
  </si>
  <si>
    <t>Analizador Química Clínica (Wiener CM 260i)</t>
  </si>
  <si>
    <t>Química</t>
  </si>
  <si>
    <t>Urea UV Cinetica AA Liquida</t>
  </si>
  <si>
    <t>Urea / BUN / Perfil Renal / Perfil 20</t>
  </si>
  <si>
    <t>4 Frascos x 45 mL (Caja 180 mL)</t>
  </si>
  <si>
    <t>Wiener Lab</t>
  </si>
  <si>
    <t>COLESTAT ENZIMATICO AA LIQUIDA</t>
  </si>
  <si>
    <t>Colesterol / Perfil Lipídico / Perfil 20</t>
  </si>
  <si>
    <t>6 Frascos x 55 mL (Caja 330 mL)</t>
  </si>
  <si>
    <t>CA-COLOR ARTENAZO III AA</t>
  </si>
  <si>
    <t>Calcio / Perfil Metabólico / Calcemia</t>
  </si>
  <si>
    <t>2 Frascos x 55 mL (Caja 110 mL)</t>
  </si>
  <si>
    <t>Analizador Inmunología / Hormonas</t>
  </si>
  <si>
    <t>Inmunología</t>
  </si>
  <si>
    <t>Kit Hormonas Quimioluminiscencia (TSH, T3, T4)</t>
  </si>
  <si>
    <t>Perfil Tiroideo</t>
  </si>
  <si>
    <t>Caja 100 Test</t>
  </si>
  <si>
    <t>DIAGNOSTICA</t>
  </si>
  <si>
    <t>Coagulómetro Automatizado</t>
  </si>
  <si>
    <t>Coagulación</t>
  </si>
  <si>
    <t>Kit Tiempo de Protrombina (TP / PTT)</t>
  </si>
  <si>
    <t>Tiempos de Coagulación</t>
  </si>
  <si>
    <t>Frasco 10 mL</t>
  </si>
  <si>
    <t>ALERE</t>
  </si>
  <si>
    <t>Uroanalizador Automatizado</t>
  </si>
  <si>
    <t>Uroanálisis</t>
  </si>
  <si>
    <t>Tiras Reactivas de Orina 10 Parámetros</t>
  </si>
  <si>
    <t>Examen General de Orina</t>
  </si>
  <si>
    <t>Tubo 100 Tiras</t>
  </si>
  <si>
    <t>Lector de Microplacas ELISA</t>
  </si>
  <si>
    <t>Serología</t>
  </si>
  <si>
    <t>Kit VIH 1+2 / Hepatitis ELISA</t>
  </si>
  <si>
    <t>Pruebas Serológicas</t>
  </si>
  <si>
    <t>Placa 96 Pozos</t>
  </si>
  <si>
    <t>MEDIGLOBE</t>
  </si>
  <si>
    <t>MATRIZ GENERAL DE COSTOS DIRECTOS ESTÁNDAR Y MÁRGENES DE ABSORCIÓN POR PRUEBA</t>
  </si>
  <si>
    <t>RAFAEL FAVOR COMPLETAR COSTOS REALES POR PRUEBA</t>
  </si>
  <si>
    <t>DUBRASKA SOLICITAR A JESSY NUEVOS PRECIOS PARA ACTUALIZAR</t>
  </si>
  <si>
    <t>N°</t>
  </si>
  <si>
    <t>Cód. Referlab</t>
  </si>
  <si>
    <t>Cód. CIACLAB (Odoo)</t>
  </si>
  <si>
    <t>Área / Unidad Técnica</t>
  </si>
  <si>
    <t>Descripción del Insumo</t>
  </si>
  <si>
    <t>Centro Costo (Odoo)</t>
  </si>
  <si>
    <t>Costo Base Directo ($)</t>
  </si>
  <si>
    <t>Absorción Indirectos ($)</t>
  </si>
  <si>
    <t>Costo Total Absorción ($)</t>
  </si>
  <si>
    <t>Precio Act. Contado ($)</t>
  </si>
  <si>
    <t>Precio Act. Convenio ($)</t>
  </si>
  <si>
    <t>Nuevo Precio Propuesto Contado ($)</t>
  </si>
  <si>
    <t>Nuevo Precio Propuesto Convenio ($)</t>
  </si>
  <si>
    <t>Margen Bruto Directo ($)</t>
  </si>
  <si>
    <t>Margen Bruto Directo (%)</t>
  </si>
  <si>
    <t>Margen Neto Absorción (%)</t>
  </si>
  <si>
    <t>TIRAS DE ORINA</t>
  </si>
  <si>
    <t>PRUBAS DE HIV 4ta. GENERACIÓN</t>
  </si>
  <si>
    <t>PRUEBAS DE HCG</t>
  </si>
  <si>
    <t>PRUEBAS TORCH</t>
  </si>
  <si>
    <t>PRUEBAS DE HEPATITIS A</t>
  </si>
  <si>
    <t>PRUEBAS DE COCAINA</t>
  </si>
  <si>
    <t>PRUEBAS DE MARIHUANA</t>
  </si>
  <si>
    <t>LAMINAS PORTA OBJETO</t>
  </si>
  <si>
    <t>LAMINAS CUBRE OBJETO</t>
  </si>
  <si>
    <t>MATRIZ DE CONSUMIBLES, MATERIAL MÉDICO QUIRÚRGICO (MMQ) Y COSTO PROMEDIO POR PACIENTE</t>
  </si>
  <si>
    <t>RAFAEL FAVOR COMPLETAR LISTA DE MMQ REAL Y/O PRUEBAS RAPIDAS Y EXAMEN PROCESADO</t>
  </si>
  <si>
    <t>Categoría Insumo</t>
  </si>
  <si>
    <t>Descripción del Material / Consumible</t>
  </si>
  <si>
    <t>Presentación de Compra (Unidad de Manejo)</t>
  </si>
  <si>
    <t>Unidades por Empaque</t>
  </si>
  <si>
    <t>Costo Empaque ($)</t>
  </si>
  <si>
    <t>Costo Unitario ($)</t>
  </si>
  <si>
    <t>Consumo Promedio / Toma Muestra</t>
  </si>
  <si>
    <t>Costo Estándar por Paciente ($)</t>
  </si>
  <si>
    <t>Toma de Muestra</t>
  </si>
  <si>
    <t xml:space="preserve">Inyectadoras 5cc / 10cc </t>
  </si>
  <si>
    <t>Caja 100 Unidades</t>
  </si>
  <si>
    <t>Aguja de Extracción 21G / Vacutainer</t>
  </si>
  <si>
    <t>Tubos Tapa Amarilla / Roja / Azul / Verde</t>
  </si>
  <si>
    <t>Prom. Caja 100 Tubos</t>
  </si>
  <si>
    <t>Protección y Bioseguridad</t>
  </si>
  <si>
    <t>Guantes de Nitrilo / Látex</t>
  </si>
  <si>
    <t>Desinfección y Limpieza</t>
  </si>
  <si>
    <t>Gerdex - Bioger/ Solución Desinfectante</t>
  </si>
  <si>
    <t>Galón 3,750 Litros</t>
  </si>
  <si>
    <t>Empaque y Muestra</t>
  </si>
  <si>
    <t>Bolsas Ziploc plásticas para muestras</t>
  </si>
  <si>
    <t>Paquete 100 Bolsas</t>
  </si>
  <si>
    <t>Consumibles Varios</t>
  </si>
  <si>
    <t>Alcohol</t>
  </si>
  <si>
    <t>Lote Mensual</t>
  </si>
  <si>
    <t>Algodón</t>
  </si>
  <si>
    <t>Empaque 500 Gramos</t>
  </si>
  <si>
    <t>Curitas Redondas</t>
  </si>
  <si>
    <t>Recolectores de Orina</t>
  </si>
  <si>
    <t>Bulto 1000 Unidades</t>
  </si>
  <si>
    <t>Recolectores de Heces</t>
  </si>
  <si>
    <t>ESTRUCTURA DE COSTOS DE NÓMINA, BONOS Y HONORARIOS PROFESIONALES (MOD &amp; OPEX)</t>
  </si>
  <si>
    <t>Cód. Odoo</t>
  </si>
  <si>
    <t>Nombre / Cargo Beneficiario</t>
  </si>
  <si>
    <t>Clasificación Contable</t>
  </si>
  <si>
    <t>Monto Devengado ($)</t>
  </si>
  <si>
    <t>Bono / Variaciones($)</t>
  </si>
  <si>
    <t>Costo Total Mensual ($)</t>
  </si>
  <si>
    <t>Criterio / Función</t>
  </si>
  <si>
    <t>Bioanalistas Auxiliares y Operativos</t>
  </si>
  <si>
    <t>Mano de Obra Directa</t>
  </si>
  <si>
    <t>Operación de Analizadores y Validación</t>
  </si>
  <si>
    <t>Honorarios Personal Médico / Consultas</t>
  </si>
  <si>
    <t>MOD Variable / Honorario</t>
  </si>
  <si>
    <t>Atención de pacientes y consultas especializadas</t>
  </si>
  <si>
    <t>Servicio Subcontratados (Alquiler Equipos)</t>
  </si>
  <si>
    <t>Comodatos</t>
  </si>
  <si>
    <t>Servicio Subcontratados (Lab. Referencia)</t>
  </si>
  <si>
    <t>Lab. Referencia</t>
  </si>
  <si>
    <t>Servicios Subcontratados  (Convenio ONT)</t>
  </si>
  <si>
    <t>Convenio Especial ONT</t>
  </si>
  <si>
    <t>TOTAL OTROS COSTOS FIJOS</t>
  </si>
  <si>
    <t>Personal Fijo Administración</t>
  </si>
  <si>
    <t>Gasto Personal Fijo (OPEX)</t>
  </si>
  <si>
    <t>Supervisión administrativa y facturación</t>
  </si>
  <si>
    <t>Gasto Variable de Personal</t>
  </si>
  <si>
    <t>Gasto Asesores (OPEX)</t>
  </si>
  <si>
    <t>Gastos Operativos (OPEX)</t>
  </si>
  <si>
    <t>Varios</t>
  </si>
  <si>
    <t>Obligaciones Gubernamentales</t>
  </si>
  <si>
    <t>Impuestos, Tasas y Contrib.</t>
  </si>
  <si>
    <t>Gastos Financieros</t>
  </si>
  <si>
    <t>Comisiones Bancarias</t>
  </si>
  <si>
    <t>Otros Costos Financieros</t>
  </si>
  <si>
    <t>Perdida / Compras de Divisas</t>
  </si>
  <si>
    <t>TOTAL GASTOS FIJOS</t>
  </si>
  <si>
    <t>TOTAL COSTOS Y GASTOS FIJOS</t>
  </si>
  <si>
    <t>CONSOLIDADO DE INGRESOS, COSTOS Y GASTOS POR CENTRO DE COSTO (MODELO FLUJO DE CAJA)</t>
  </si>
  <si>
    <t>Centro de Costo / Partida Financiera</t>
  </si>
  <si>
    <t>Categoría Contable</t>
  </si>
  <si>
    <t>Ejecutado Mes Real ($)</t>
  </si>
  <si>
    <t>Estándar / Presupuesto ($)</t>
  </si>
  <si>
    <t>Variación ($)</t>
  </si>
  <si>
    <t>Variación (%)</t>
  </si>
  <si>
    <t>Estándar Fin. (% Ingreso)</t>
  </si>
  <si>
    <t>ING-001</t>
  </si>
  <si>
    <t>INGRESOS: Laboratorio Clínico</t>
  </si>
  <si>
    <t>CC-100 Ingreso</t>
  </si>
  <si>
    <t>ING-002</t>
  </si>
  <si>
    <t>INGRESOS: Lab. Anatomía Patológica</t>
  </si>
  <si>
    <t>CC-200 Ingreso</t>
  </si>
  <si>
    <t>INGRESOS: Lab. Biología Molecular</t>
  </si>
  <si>
    <t>ING-003</t>
  </si>
  <si>
    <t>INGRESOS: Consultas y Serv. Médicos</t>
  </si>
  <si>
    <t>CC-300 Ingreso</t>
  </si>
  <si>
    <t>TOTAL-ING</t>
  </si>
  <si>
    <t>TOTAL INGRESOS OPERATIVOS</t>
  </si>
  <si>
    <t>TOTAL INGRESOS</t>
  </si>
  <si>
    <t>COS-101</t>
  </si>
  <si>
    <t>Costos Reactivos Equipos (Insertos / Compras)</t>
  </si>
  <si>
    <t>CC-100 Costo</t>
  </si>
  <si>
    <t>COS-102</t>
  </si>
  <si>
    <t>Costos MMQ y Consumibles Descartables</t>
  </si>
  <si>
    <t>COS-103</t>
  </si>
  <si>
    <t>Alquiler Equipos y Comodatos</t>
  </si>
  <si>
    <t>COS-201</t>
  </si>
  <si>
    <t>Servicios Subcontratados (Lab. Referencia)</t>
  </si>
  <si>
    <t>CC-200 Costo</t>
  </si>
  <si>
    <t>COS-202</t>
  </si>
  <si>
    <t>Servicios Subcontratados (Convenio ONT)</t>
  </si>
  <si>
    <t>COS-301</t>
  </si>
  <si>
    <t>Costos MOD Directa (Bioanálisis y Operaciones)</t>
  </si>
  <si>
    <t>CC-100 MOD</t>
  </si>
  <si>
    <t>COS-302</t>
  </si>
  <si>
    <t>Costos MOD Variable (Servicios Médicos)</t>
  </si>
  <si>
    <t>CC-300 MOD</t>
  </si>
  <si>
    <t>TOTAL-COS</t>
  </si>
  <si>
    <t>TOTAL COSTOS DIRECTOS OPERATIVOS</t>
  </si>
  <si>
    <t>TOTAL COSTOS</t>
  </si>
  <si>
    <t>MAR-BRUT</t>
  </si>
  <si>
    <t>MARGEN BRUTO OPERATIVO</t>
  </si>
  <si>
    <t>SUBTOTAL MARGEN</t>
  </si>
  <si>
    <t>GAS-401</t>
  </si>
  <si>
    <t>Gasto Personal Fijo (Administración)</t>
  </si>
  <si>
    <t>CC-400 OPEX</t>
  </si>
  <si>
    <t>GAS-402</t>
  </si>
  <si>
    <t>Gasto Personal Variable (Asesores)</t>
  </si>
  <si>
    <t>GAS-403</t>
  </si>
  <si>
    <t>Gastos Fijos Corrientes de Sede (OPEX)</t>
  </si>
  <si>
    <t>TOTAL-OPEX</t>
  </si>
  <si>
    <t>TOTAL GASTOS OPERATIVOS (OPEX)</t>
  </si>
  <si>
    <t>TOTAL GASTOS</t>
  </si>
  <si>
    <t>EBITDA</t>
  </si>
  <si>
    <t>RESULTADO OPERATIVO (EBITDA / FLUJO CAJA)</t>
  </si>
  <si>
    <t>RESULTADO NETO</t>
  </si>
  <si>
    <t>Descripción del Examen / Perfil</t>
  </si>
  <si>
    <t>6147</t>
  </si>
  <si>
    <t>PCL-0351</t>
  </si>
  <si>
    <t>LAB.CLINICO</t>
  </si>
  <si>
    <t>17 OH PROGESTERONA</t>
  </si>
  <si>
    <t>6161</t>
  </si>
  <si>
    <t>17 OH PROGESTERONA 60 MIN</t>
  </si>
  <si>
    <t>6160</t>
  </si>
  <si>
    <t>17 OH PROGESTERONA 90 MIN</t>
  </si>
  <si>
    <t>6148</t>
  </si>
  <si>
    <t>17 OH PROGESTERONA P. ESTIMULACIÓN</t>
  </si>
  <si>
    <t>7128</t>
  </si>
  <si>
    <t>PCL-0650</t>
  </si>
  <si>
    <t>Ac. ANTI-BETA 2 GLICOPROTEINA I IgG</t>
  </si>
  <si>
    <t>7129</t>
  </si>
  <si>
    <t>PCL-0651</t>
  </si>
  <si>
    <t>Ac. ANTI-BETA 2 GLICOPROTEINA I IgM</t>
  </si>
  <si>
    <t>7669</t>
  </si>
  <si>
    <t>PCL-0678</t>
  </si>
  <si>
    <t>AC. ANTI-ISLOTES LANGERHANS (ICA)</t>
  </si>
  <si>
    <t>7104</t>
  </si>
  <si>
    <t>PCL-0018</t>
  </si>
  <si>
    <t>AC. ANTI-PEPTIDO CITRUL. (ANTI-CCP)</t>
  </si>
  <si>
    <t>7102</t>
  </si>
  <si>
    <t>PCL-0214</t>
  </si>
  <si>
    <t>AC. ANTI-VARICELA ZOSTER IgG</t>
  </si>
  <si>
    <t>7103</t>
  </si>
  <si>
    <t>PCL-0218</t>
  </si>
  <si>
    <t>AC. ANTI-VARICELA ZOSTER IgM</t>
  </si>
  <si>
    <t>7074</t>
  </si>
  <si>
    <t>PCL-0139</t>
  </si>
  <si>
    <t>AC.ANTI-CHLAMYDIA TRACHOMATIS IgG</t>
  </si>
  <si>
    <t>7075</t>
  </si>
  <si>
    <t>PCL-0141</t>
  </si>
  <si>
    <t>AC.ANTI-CHLAMYDIA TRACHOMATIS IgM</t>
  </si>
  <si>
    <t>1420</t>
  </si>
  <si>
    <t>PCL-0121</t>
  </si>
  <si>
    <t>AC.ANTI-PLAQUETARIOS</t>
  </si>
  <si>
    <t>6055</t>
  </si>
  <si>
    <t>PCL-0302</t>
  </si>
  <si>
    <t>ACIDO FOLICO (FOLATO)</t>
  </si>
  <si>
    <t>6676</t>
  </si>
  <si>
    <t>PCL-0487</t>
  </si>
  <si>
    <t>ACIDO LACTICO</t>
  </si>
  <si>
    <t>2003</t>
  </si>
  <si>
    <t>PCL-0488</t>
  </si>
  <si>
    <t>ACIDO URICO</t>
  </si>
  <si>
    <t>2385</t>
  </si>
  <si>
    <t>ACIDO URICO EN ORINA DE 24 HORAS</t>
  </si>
  <si>
    <t>2288</t>
  </si>
  <si>
    <t>PCL-0489</t>
  </si>
  <si>
    <t>ACIDO URICO EN ORINA PARCIAL</t>
  </si>
  <si>
    <t>2024</t>
  </si>
  <si>
    <t>PCL-0001</t>
  </si>
  <si>
    <t>ACIDO VALPROICO</t>
  </si>
  <si>
    <t>7047</t>
  </si>
  <si>
    <t>PCL-0128</t>
  </si>
  <si>
    <t>AGLUTININAS ANTI-Rh</t>
  </si>
  <si>
    <t>2096</t>
  </si>
  <si>
    <t>PCL-0009</t>
  </si>
  <si>
    <t>ALDOLASA</t>
  </si>
  <si>
    <t>6003</t>
  </si>
  <si>
    <t>PCL-0042</t>
  </si>
  <si>
    <t>ALDOSTERONA (de pie)</t>
  </si>
  <si>
    <t>6617</t>
  </si>
  <si>
    <t>ALDOSTERONA EN ORINA DE 24 HORAS</t>
  </si>
  <si>
    <t>7487</t>
  </si>
  <si>
    <t>PCL-0736</t>
  </si>
  <si>
    <t>ALFA LACTOALBUMINA IgG</t>
  </si>
  <si>
    <t>7497</t>
  </si>
  <si>
    <t>ALFA LACTOALBUMINA IgG4</t>
  </si>
  <si>
    <t>2017</t>
  </si>
  <si>
    <t>PCL-0491</t>
  </si>
  <si>
    <t>AMILASA</t>
  </si>
  <si>
    <t>2931</t>
  </si>
  <si>
    <t>AMILASA (ISOENZIMAS)</t>
  </si>
  <si>
    <t>2390</t>
  </si>
  <si>
    <t>AMILASA EN ORINA DE 24 HORAS</t>
  </si>
  <si>
    <t>15070</t>
  </si>
  <si>
    <t>PCL-0492</t>
  </si>
  <si>
    <t>AMONIO</t>
  </si>
  <si>
    <t>6005</t>
  </si>
  <si>
    <t>PCL-0044</t>
  </si>
  <si>
    <t>ANDROSTENEDIONA</t>
  </si>
  <si>
    <t>6149</t>
  </si>
  <si>
    <t>ANDROSTENEDIONA A LOS 60 MINUTOS</t>
  </si>
  <si>
    <t>6145</t>
  </si>
  <si>
    <t>ANDROSTENEDIONA EN 30 MINUTOS</t>
  </si>
  <si>
    <t>6017</t>
  </si>
  <si>
    <t>PCL-0271</t>
  </si>
  <si>
    <t>ANFETAMINAS EN ORINA</t>
  </si>
  <si>
    <t>7140</t>
  </si>
  <si>
    <t>PCL-0234</t>
  </si>
  <si>
    <t>ANTICOAGULANTE LUPICO</t>
  </si>
  <si>
    <t>7049</t>
  </si>
  <si>
    <t>PCL-0132</t>
  </si>
  <si>
    <t>ANTICUERPOS ANTI-CARDIOLIPINA IgG</t>
  </si>
  <si>
    <t>7080</t>
  </si>
  <si>
    <t>PCL-0133</t>
  </si>
  <si>
    <t>ANTICUERPOS ANTI-CARDIOLIPINA IgM</t>
  </si>
  <si>
    <t>7303</t>
  </si>
  <si>
    <t>PCL-0541</t>
  </si>
  <si>
    <t>ANTICUERPOS ANTI-INSULINA (IAA)</t>
  </si>
  <si>
    <t>7022</t>
  </si>
  <si>
    <t>PCL-0196</t>
  </si>
  <si>
    <t>ANTICUERPOS ANTI-RUBEOLA IgG</t>
  </si>
  <si>
    <t>7021</t>
  </si>
  <si>
    <t>PCL-0200</t>
  </si>
  <si>
    <t>ANTICUERPOS ANTI-RUBEOLA IgM</t>
  </si>
  <si>
    <t>13</t>
  </si>
  <si>
    <t>PCL-0412</t>
  </si>
  <si>
    <t>ANTIGENOS FEBRILES (WIDAL)</t>
  </si>
  <si>
    <t>7879</t>
  </si>
  <si>
    <t>PCL-0735</t>
  </si>
  <si>
    <t>ANTI-ZnT8A</t>
  </si>
  <si>
    <t>2026</t>
  </si>
  <si>
    <t>PCL-0010</t>
  </si>
  <si>
    <t>APOLIPOPROTEINA A-1 (APO A-1)</t>
  </si>
  <si>
    <t>2032</t>
  </si>
  <si>
    <t>PCL-0011</t>
  </si>
  <si>
    <t>APOLIPOPROTEINA B (APO B)</t>
  </si>
  <si>
    <t>3033</t>
  </si>
  <si>
    <t>PCL-0373</t>
  </si>
  <si>
    <t>AZUCARES REDUCTORES EN HECES</t>
  </si>
  <si>
    <t>6056</t>
  </si>
  <si>
    <t>PCL-0275</t>
  </si>
  <si>
    <t>BARBITURICOS EN ORINA</t>
  </si>
  <si>
    <t>7803</t>
  </si>
  <si>
    <t>PCL-0708</t>
  </si>
  <si>
    <t>BARTONELLA HENSELAE (IgM, IgG)</t>
  </si>
  <si>
    <t>6011</t>
  </si>
  <si>
    <t>PCL-0222</t>
  </si>
  <si>
    <t>BETA 2 MICROGLOBULINA</t>
  </si>
  <si>
    <t>6015</t>
  </si>
  <si>
    <t>PCL-0417</t>
  </si>
  <si>
    <t>BETA 2 MICROGLOBULINA EN ORINA 24H</t>
  </si>
  <si>
    <t>6721</t>
  </si>
  <si>
    <t>PCL-0580</t>
  </si>
  <si>
    <t>BETA 2 TRANSFERRINA (LIQUIDOS)</t>
  </si>
  <si>
    <t>7488</t>
  </si>
  <si>
    <t>PCL-0738</t>
  </si>
  <si>
    <t>BETA LACTOGLOBULINA IgG</t>
  </si>
  <si>
    <t>7509</t>
  </si>
  <si>
    <t>BETA LACTOGLOBULINA IgG4</t>
  </si>
  <si>
    <t>2076</t>
  </si>
  <si>
    <t>PCL-0493</t>
  </si>
  <si>
    <t>BILIRRUBINA TOTAL Y FRACCIONADA</t>
  </si>
  <si>
    <t>2027</t>
  </si>
  <si>
    <t>PCL-0584</t>
  </si>
  <si>
    <t>BUN EN ORINA PARCIAL</t>
  </si>
  <si>
    <t>6064</t>
  </si>
  <si>
    <t>PCL-0418</t>
  </si>
  <si>
    <t>CA 125</t>
  </si>
  <si>
    <t>6066</t>
  </si>
  <si>
    <t>PCL-0420</t>
  </si>
  <si>
    <t>CA 15-3</t>
  </si>
  <si>
    <t>6065</t>
  </si>
  <si>
    <t>PCL-0422</t>
  </si>
  <si>
    <t>CA 19.9</t>
  </si>
  <si>
    <t>6067</t>
  </si>
  <si>
    <t>PCL-0220</t>
  </si>
  <si>
    <t>CA 72-4</t>
  </si>
  <si>
    <t>2485</t>
  </si>
  <si>
    <t>PCL-0494</t>
  </si>
  <si>
    <t>CALCIO EN ORINA DE 24 HORAS</t>
  </si>
  <si>
    <t>2090</t>
  </si>
  <si>
    <t>PCL-0495</t>
  </si>
  <si>
    <t>CALCIO EN ORINA PARCIAL</t>
  </si>
  <si>
    <t>2296</t>
  </si>
  <si>
    <t>PCL-0617</t>
  </si>
  <si>
    <t>CALCIO IONICO</t>
  </si>
  <si>
    <t>6001</t>
  </si>
  <si>
    <t>PCL-0045</t>
  </si>
  <si>
    <t>CALCITONINA</t>
  </si>
  <si>
    <t>3040</t>
  </si>
  <si>
    <t>PCL-0086</t>
  </si>
  <si>
    <t>CALPROTECTINA EN HECES CUANTITATIVO</t>
  </si>
  <si>
    <t>328</t>
  </si>
  <si>
    <t>PCL-0498</t>
  </si>
  <si>
    <t>CAPTACION DE HIERRO</t>
  </si>
  <si>
    <t>2036</t>
  </si>
  <si>
    <t>PCL-0237</t>
  </si>
  <si>
    <t>CARBAMAZEPINA (TEGRETOL)</t>
  </si>
  <si>
    <t>6130</t>
  </si>
  <si>
    <t>PCL-0238</t>
  </si>
  <si>
    <t>CATECOLAMINAS EN ORINA 24 HORAS</t>
  </si>
  <si>
    <t>7016</t>
  </si>
  <si>
    <t>PCL-0241</t>
  </si>
  <si>
    <t>CERULOPLASMINA</t>
  </si>
  <si>
    <t>7003</t>
  </si>
  <si>
    <t>PCL-0424</t>
  </si>
  <si>
    <t>CITOMEGALOVIRUS IgG</t>
  </si>
  <si>
    <t>7027</t>
  </si>
  <si>
    <t>CITOMEGALOVIRUS IgG(TEST DE AVIDEZ)</t>
  </si>
  <si>
    <t>7002</t>
  </si>
  <si>
    <t>PCL-0428</t>
  </si>
  <si>
    <t>CITOMEGALOVIRUS IgM</t>
  </si>
  <si>
    <t>2489</t>
  </si>
  <si>
    <t>PCL-0242</t>
  </si>
  <si>
    <t>CITRATO EN ORINA DE 24 HORAS</t>
  </si>
  <si>
    <t>7484</t>
  </si>
  <si>
    <t>PCL-0669</t>
  </si>
  <si>
    <t>CLARA DE HUEVO IgG</t>
  </si>
  <si>
    <t>7503</t>
  </si>
  <si>
    <t>PCL-0158</t>
  </si>
  <si>
    <t>CLARA DE HUEVO IgG4</t>
  </si>
  <si>
    <t>2904</t>
  </si>
  <si>
    <t>PCL-0279</t>
  </si>
  <si>
    <t>CLONAZEPAM (RIVOTRIL)</t>
  </si>
  <si>
    <t>2004</t>
  </si>
  <si>
    <t>PCL-0506</t>
  </si>
  <si>
    <t>COLESTEROL</t>
  </si>
  <si>
    <t>7005</t>
  </si>
  <si>
    <t>PCL-0430</t>
  </si>
  <si>
    <t>COMPLEMENTO C3</t>
  </si>
  <si>
    <t>7004</t>
  </si>
  <si>
    <t>PCL-0431</t>
  </si>
  <si>
    <t>COMPLEMENTO C4</t>
  </si>
  <si>
    <t>7045</t>
  </si>
  <si>
    <t>PCL-0384</t>
  </si>
  <si>
    <t>COOMBS DIRECTO</t>
  </si>
  <si>
    <t>7046</t>
  </si>
  <si>
    <t>PCL-0385</t>
  </si>
  <si>
    <t>COOMBS INDIRECTO</t>
  </si>
  <si>
    <t>2002</t>
  </si>
  <si>
    <t>PCL-0510</t>
  </si>
  <si>
    <t>CREATININA</t>
  </si>
  <si>
    <t>2091</t>
  </si>
  <si>
    <t>PCL-0512</t>
  </si>
  <si>
    <t>CREATININA EN ORINA  PARCIAL</t>
  </si>
  <si>
    <t>2480</t>
  </si>
  <si>
    <t>PCL-0511</t>
  </si>
  <si>
    <t>CREATININA EN ORINA DE 24 HORAS</t>
  </si>
  <si>
    <t>6789</t>
  </si>
  <si>
    <t>PCL-0074</t>
  </si>
  <si>
    <t>CROMO EN SANGRE</t>
  </si>
  <si>
    <t>2176</t>
  </si>
  <si>
    <t>PCL-0515</t>
  </si>
  <si>
    <t>DEPURACION DE CREATININA</t>
  </si>
  <si>
    <t>2250</t>
  </si>
  <si>
    <t>PCL-0516</t>
  </si>
  <si>
    <t>DEPURACION DE UREA</t>
  </si>
  <si>
    <t>6019</t>
  </si>
  <si>
    <t>DHEA  (DEHIDROEPIANDROSTENEDIONA)</t>
  </si>
  <si>
    <t>6123</t>
  </si>
  <si>
    <t>DHEA-S (DEHIDROEPIANDROSTENEDIONA SULFATO)</t>
  </si>
  <si>
    <t>2028</t>
  </si>
  <si>
    <t>PCL-0282</t>
  </si>
  <si>
    <t>DIGOXINA</t>
  </si>
  <si>
    <t>6020</t>
  </si>
  <si>
    <t>PCL-0386</t>
  </si>
  <si>
    <t>DIMERO D</t>
  </si>
  <si>
    <t>16</t>
  </si>
  <si>
    <t>PCL-0250</t>
  </si>
  <si>
    <t>ELECTROFORESIS DE PROTEINAS</t>
  </si>
  <si>
    <t>2363</t>
  </si>
  <si>
    <t>PCL-0517</t>
  </si>
  <si>
    <t>ELECTROLITOS EN ORINA DE 24 HORAS</t>
  </si>
  <si>
    <t>51</t>
  </si>
  <si>
    <t>PCL-0518</t>
  </si>
  <si>
    <t>ELECTROLITOS EN ORINA PARCIAL</t>
  </si>
  <si>
    <t>6186</t>
  </si>
  <si>
    <t>PCL-0520</t>
  </si>
  <si>
    <t>ENOLASA ESPECIFICA NEURONAL (NSE)</t>
  </si>
  <si>
    <t>1399</t>
  </si>
  <si>
    <t>PCL-0387</t>
  </si>
  <si>
    <t>EOSINOFILOS EN MOCO NASAL</t>
  </si>
  <si>
    <t>7020</t>
  </si>
  <si>
    <t>PCL-0433</t>
  </si>
  <si>
    <t>EPSTEIN BARR IgG. ANTI-EBV(VCA)IgG</t>
  </si>
  <si>
    <t>7019</t>
  </si>
  <si>
    <t>PCL-0437</t>
  </si>
  <si>
    <t>EPSTEIN BARR IgM. ANTI-EBV(VCA)IgM</t>
  </si>
  <si>
    <t>6038</t>
  </si>
  <si>
    <t>PCL-0324</t>
  </si>
  <si>
    <t>ESTRADIOL</t>
  </si>
  <si>
    <t>6742</t>
  </si>
  <si>
    <t>ESTRADIOL 120</t>
  </si>
  <si>
    <t>6210</t>
  </si>
  <si>
    <t>ESTRADIOL 240 MINUTOS</t>
  </si>
  <si>
    <t>6095</t>
  </si>
  <si>
    <t>PCL-0048</t>
  </si>
  <si>
    <t>ESTRIOL LIBRE</t>
  </si>
  <si>
    <t>6099</t>
  </si>
  <si>
    <t>PCL-0049</t>
  </si>
  <si>
    <t>ESTROGENOS</t>
  </si>
  <si>
    <t>1077</t>
  </si>
  <si>
    <t>PCL-0087</t>
  </si>
  <si>
    <t>FACTOR Du</t>
  </si>
  <si>
    <t>1425</t>
  </si>
  <si>
    <t>PCL-0090</t>
  </si>
  <si>
    <t>FACTOR VIII (ACTIVIDAD)</t>
  </si>
  <si>
    <t>1222</t>
  </si>
  <si>
    <t>PCL-0091</t>
  </si>
  <si>
    <t>FACTOR VIII (CONCENTRACION)</t>
  </si>
  <si>
    <t>2033</t>
  </si>
  <si>
    <t>PCL-0287</t>
  </si>
  <si>
    <t>FENOBARBITAL</t>
  </si>
  <si>
    <t>6053</t>
  </si>
  <si>
    <t>PCL-0521</t>
  </si>
  <si>
    <t>FERRITINA</t>
  </si>
  <si>
    <t>1040</t>
  </si>
  <si>
    <t>PCL-0388</t>
  </si>
  <si>
    <t>FIBRINOGENO</t>
  </si>
  <si>
    <t>2009</t>
  </si>
  <si>
    <t>PCL-0255</t>
  </si>
  <si>
    <t>FOSFATASA ACIDA TOTAL</t>
  </si>
  <si>
    <t>2011</t>
  </si>
  <si>
    <t>PCL-0522</t>
  </si>
  <si>
    <t>FOSFATASA ALCALINA  (ALP)</t>
  </si>
  <si>
    <t>6551</t>
  </si>
  <si>
    <t>FOSFATASA ALCALINA  LEUCOCITARIA</t>
  </si>
  <si>
    <t>6552</t>
  </si>
  <si>
    <t>FOSFATASA ALCALINA OSEA (FAO)</t>
  </si>
  <si>
    <t>2055</t>
  </si>
  <si>
    <t>PCL-0523</t>
  </si>
  <si>
    <t>FOSFORO</t>
  </si>
  <si>
    <t>2092</t>
  </si>
  <si>
    <t>PCL-0524</t>
  </si>
  <si>
    <t>FOSFORO EN ORINA PARCIAL</t>
  </si>
  <si>
    <t>43</t>
  </si>
  <si>
    <t>PCL-0389</t>
  </si>
  <si>
    <t>FROTIS DE SANGRE PERIFERICA</t>
  </si>
  <si>
    <t>6760</t>
  </si>
  <si>
    <t>PCL-0528</t>
  </si>
  <si>
    <t>GASES VENOSOS</t>
  </si>
  <si>
    <t>2000</t>
  </si>
  <si>
    <t>PCL-0529</t>
  </si>
  <si>
    <t>GLICEMIA</t>
  </si>
  <si>
    <t>2149</t>
  </si>
  <si>
    <t>GLICEMIA 120 MINUTOS</t>
  </si>
  <si>
    <t>2150</t>
  </si>
  <si>
    <t>GLICEMIA 15 MINUTOS</t>
  </si>
  <si>
    <t>2148</t>
  </si>
  <si>
    <t>GLICEMIA 150 MINUTOS</t>
  </si>
  <si>
    <t>2151</t>
  </si>
  <si>
    <t>GLICEMIA 180 MINUTOS</t>
  </si>
  <si>
    <t>2153</t>
  </si>
  <si>
    <t>GLICEMIA 240 MINUTOS</t>
  </si>
  <si>
    <t>2142</t>
  </si>
  <si>
    <t>GLICEMIA 30 MINUTOS</t>
  </si>
  <si>
    <t>2155</t>
  </si>
  <si>
    <t>GLICEMIA 300 MINUTOS</t>
  </si>
  <si>
    <t>2140</t>
  </si>
  <si>
    <t>GLICEMIA 45 MINUTOS</t>
  </si>
  <si>
    <t>2143</t>
  </si>
  <si>
    <t>GLICEMIA 60 MINUTOS</t>
  </si>
  <si>
    <t>2146</t>
  </si>
  <si>
    <t>GLICEMIA 90 MINUTOS</t>
  </si>
  <si>
    <t>2056</t>
  </si>
  <si>
    <t>GLICEMIA POST PANDRIAL</t>
  </si>
  <si>
    <t>6781</t>
  </si>
  <si>
    <t>PCL-0014</t>
  </si>
  <si>
    <t>GLUCOSA 6 FOSFATO DESHIDROGENASA</t>
  </si>
  <si>
    <t>2938</t>
  </si>
  <si>
    <t>PCL-0538</t>
  </si>
  <si>
    <t>GLUCOSURIA EN ORINA DE 24 HORAS</t>
  </si>
  <si>
    <t>7421</t>
  </si>
  <si>
    <t>PCL-0143</t>
  </si>
  <si>
    <t>GLUTEN IgG</t>
  </si>
  <si>
    <t>7510</t>
  </si>
  <si>
    <t>GLUTEN IgG4</t>
  </si>
  <si>
    <t>1054</t>
  </si>
  <si>
    <t>PCL-0390</t>
  </si>
  <si>
    <t>GOTA GRUESA</t>
  </si>
  <si>
    <t>3</t>
  </si>
  <si>
    <t>PCL-0374</t>
  </si>
  <si>
    <t>HECES (COPROANALISIS)</t>
  </si>
  <si>
    <t>3050</t>
  </si>
  <si>
    <t>PCL-0442</t>
  </si>
  <si>
    <t>HELICOBACTER PYLORI  EN HECES</t>
  </si>
  <si>
    <t>1</t>
  </si>
  <si>
    <t>PCL-0392</t>
  </si>
  <si>
    <t>HEMATOLOGIA COMPLETA</t>
  </si>
  <si>
    <t>2025</t>
  </si>
  <si>
    <t>PCL-0539</t>
  </si>
  <si>
    <t>HEMOGLOBINA GLICOSILADA (A1C)</t>
  </si>
  <si>
    <t>2013</t>
  </si>
  <si>
    <t>PCL-0540</t>
  </si>
  <si>
    <t>HIERRO SERICO</t>
  </si>
  <si>
    <t>6732</t>
  </si>
  <si>
    <t>PCL-0630</t>
  </si>
  <si>
    <t>HISTAMINA EN PLASMA</t>
  </si>
  <si>
    <t>6016</t>
  </si>
  <si>
    <t>PCL-0015</t>
  </si>
  <si>
    <t>HOMOCISTEINA</t>
  </si>
  <si>
    <t>322</t>
  </si>
  <si>
    <t>PCL-0636</t>
  </si>
  <si>
    <t>HTLV I/II  IgG/IgM</t>
  </si>
  <si>
    <t>7446</t>
  </si>
  <si>
    <t>HUEVO IgG</t>
  </si>
  <si>
    <t>7624</t>
  </si>
  <si>
    <t>HUEVO IgG4</t>
  </si>
  <si>
    <t>7283</t>
  </si>
  <si>
    <t>IgE ESPECÍFICA FENOBARBITAL</t>
  </si>
  <si>
    <t>7282</t>
  </si>
  <si>
    <t>IgE ESPECÍFICA INSULINA HUMANA</t>
  </si>
  <si>
    <t>89</t>
  </si>
  <si>
    <t>PCL-0258</t>
  </si>
  <si>
    <t>INDICE DE RIESGO ROMA</t>
  </si>
  <si>
    <t>6620</t>
  </si>
  <si>
    <t>PCL-0259</t>
  </si>
  <si>
    <t>INDICE HOMA</t>
  </si>
  <si>
    <t>7023</t>
  </si>
  <si>
    <t>PCL-0449</t>
  </si>
  <si>
    <t>INMUNOGLOBULINA A (IgA)</t>
  </si>
  <si>
    <t>7026</t>
  </si>
  <si>
    <t>PCL-0624</t>
  </si>
  <si>
    <t>INMUNOGLOBULINA E (IgE)</t>
  </si>
  <si>
    <t>7024</t>
  </si>
  <si>
    <t>PCL-0451</t>
  </si>
  <si>
    <t>INMUNOGLOBULINA G (IgG)</t>
  </si>
  <si>
    <t>7025</t>
  </si>
  <si>
    <t>PCL-0453</t>
  </si>
  <si>
    <t>INMUNOGLOBULINA M (IgM)</t>
  </si>
  <si>
    <t>6104</t>
  </si>
  <si>
    <t>INSULINA</t>
  </si>
  <si>
    <t>6109</t>
  </si>
  <si>
    <t>INSULINA 120 MINUTOS</t>
  </si>
  <si>
    <t>6105</t>
  </si>
  <si>
    <t>INSULINA 15 MINUTOS</t>
  </si>
  <si>
    <t>6110</t>
  </si>
  <si>
    <t>INSULINA 150 MINUTOS</t>
  </si>
  <si>
    <t>6112</t>
  </si>
  <si>
    <t>INSULINA 180 MINUTOS</t>
  </si>
  <si>
    <t>6113</t>
  </si>
  <si>
    <t>INSULINA 240 MINUTOS</t>
  </si>
  <si>
    <t>6106</t>
  </si>
  <si>
    <t>INSULINA 30 MINUTOS</t>
  </si>
  <si>
    <t>6146</t>
  </si>
  <si>
    <t>INSULINA 300 MINUTOS</t>
  </si>
  <si>
    <t>6122</t>
  </si>
  <si>
    <t>INSULINA 45 MINUTOS</t>
  </si>
  <si>
    <t>6107</t>
  </si>
  <si>
    <t>INSULINA 60 MINUTOS</t>
  </si>
  <si>
    <t>6108</t>
  </si>
  <si>
    <t>INSULINA 90 MINUTOS</t>
  </si>
  <si>
    <t>6111</t>
  </si>
  <si>
    <t>INSULINA POST-PRANDRIAL</t>
  </si>
  <si>
    <t>3045</t>
  </si>
  <si>
    <t>PCL-0691</t>
  </si>
  <si>
    <t>LACTOFERRINA EN HECES CUANTITATIVA</t>
  </si>
  <si>
    <t>7423</t>
  </si>
  <si>
    <t>PCL-0164</t>
  </si>
  <si>
    <t>LECHE DE VACA  IgG</t>
  </si>
  <si>
    <t>7614</t>
  </si>
  <si>
    <t>LECHE DE VACA IgG4</t>
  </si>
  <si>
    <t>3034</t>
  </si>
  <si>
    <t>PCL-0378</t>
  </si>
  <si>
    <t>LEUCOCITOGRAMA EN HECES</t>
  </si>
  <si>
    <t>2018</t>
  </si>
  <si>
    <t>PCL-0554</t>
  </si>
  <si>
    <t>LIPASA</t>
  </si>
  <si>
    <t>2034</t>
  </si>
  <si>
    <t>PCL-0260</t>
  </si>
  <si>
    <t>LITIO</t>
  </si>
  <si>
    <t>6211</t>
  </si>
  <si>
    <t>PCL-0353</t>
  </si>
  <si>
    <t>MACROPROLACTINA</t>
  </si>
  <si>
    <t>2035</t>
  </si>
  <si>
    <t>PCL-0555</t>
  </si>
  <si>
    <t>MAGNESIO</t>
  </si>
  <si>
    <t>2235</t>
  </si>
  <si>
    <t>MAGNESIO  EN ORINA  DE 24 HORAS</t>
  </si>
  <si>
    <t>2138</t>
  </si>
  <si>
    <t>PCL-0556</t>
  </si>
  <si>
    <t>MAGNESIO EN ORINA PARCIAL</t>
  </si>
  <si>
    <t>6679</t>
  </si>
  <si>
    <t>PCL-0076</t>
  </si>
  <si>
    <t>MERCURIO EN SANGRE</t>
  </si>
  <si>
    <t>2647</t>
  </si>
  <si>
    <t>PCL-0289</t>
  </si>
  <si>
    <t>METADONA EN ORINA</t>
  </si>
  <si>
    <t>6648</t>
  </si>
  <si>
    <t>PCL-0729</t>
  </si>
  <si>
    <t>METANEFRINAS EN ORINA 24 HORAS</t>
  </si>
  <si>
    <t>6726</t>
  </si>
  <si>
    <t>PCL-0261</t>
  </si>
  <si>
    <t>MIOGLOBINA EN ORINA</t>
  </si>
  <si>
    <t>6043</t>
  </si>
  <si>
    <t>MIOGLOBINA EN SUERO</t>
  </si>
  <si>
    <t>6730</t>
  </si>
  <si>
    <t>PCL-0077</t>
  </si>
  <si>
    <t>NIQUEL EN SANGRE</t>
  </si>
  <si>
    <t>2</t>
  </si>
  <si>
    <t>PCL-0590</t>
  </si>
  <si>
    <t>ORINA (UROANALISIS)</t>
  </si>
  <si>
    <t>2493</t>
  </si>
  <si>
    <t>PCL-0262</t>
  </si>
  <si>
    <t>OXALATO EN ORINA DE 24 HORAS</t>
  </si>
  <si>
    <t>2932</t>
  </si>
  <si>
    <t>PCL-0298</t>
  </si>
  <si>
    <t>OXCARBAZEPINA (TRILEPTAL)</t>
  </si>
  <si>
    <t>7105</t>
  </si>
  <si>
    <t>PCL-0181</t>
  </si>
  <si>
    <t>PARVOVIRUS B19 IgG</t>
  </si>
  <si>
    <t>7106</t>
  </si>
  <si>
    <t>PCL-0182</t>
  </si>
  <si>
    <t>PARVOVIRUS B19 IgM</t>
  </si>
  <si>
    <t>6155</t>
  </si>
  <si>
    <t>PEPTIDO C</t>
  </si>
  <si>
    <t>6157</t>
  </si>
  <si>
    <t>PEPTIDO C  POST-PRANDIAL</t>
  </si>
  <si>
    <t>20</t>
  </si>
  <si>
    <t>PCL-0611</t>
  </si>
  <si>
    <t>PERFIL  DENGUE</t>
  </si>
  <si>
    <t>99</t>
  </si>
  <si>
    <t>PCL-0477</t>
  </si>
  <si>
    <t>PERFIL 20</t>
  </si>
  <si>
    <t>270</t>
  </si>
  <si>
    <t>PCL-0471</t>
  </si>
  <si>
    <t>PERFIL ANEMIA (FERROCINETICO)</t>
  </si>
  <si>
    <t>80</t>
  </si>
  <si>
    <t>PCL-0673</t>
  </si>
  <si>
    <t>PERFIL BASICO</t>
  </si>
  <si>
    <t>240</t>
  </si>
  <si>
    <t>PCL-0265</t>
  </si>
  <si>
    <t>PERFIL CELIACO</t>
  </si>
  <si>
    <t>24</t>
  </si>
  <si>
    <t>PCL-0393</t>
  </si>
  <si>
    <t>PERFIL COAGULACION</t>
  </si>
  <si>
    <t>42</t>
  </si>
  <si>
    <t>PCL-0593</t>
  </si>
  <si>
    <t>PERFIL FIEBRE</t>
  </si>
  <si>
    <t>22</t>
  </si>
  <si>
    <t>PCL-0679</t>
  </si>
  <si>
    <t>PERFIL GENERAL</t>
  </si>
  <si>
    <t>27</t>
  </si>
  <si>
    <t>PCL-0478</t>
  </si>
  <si>
    <t>PERFIL HEPATICO</t>
  </si>
  <si>
    <t>62</t>
  </si>
  <si>
    <t>PCL-0346</t>
  </si>
  <si>
    <t>PERFIL HORMONAL FEMENINO</t>
  </si>
  <si>
    <t>63</t>
  </si>
  <si>
    <t>PCL-0348</t>
  </si>
  <si>
    <t>PERFIL HORMONAL MASCULINO</t>
  </si>
  <si>
    <t>26</t>
  </si>
  <si>
    <t>PCL-0564</t>
  </si>
  <si>
    <t>PERFIL ISQUEMICO</t>
  </si>
  <si>
    <t>30</t>
  </si>
  <si>
    <t>PCL-0565</t>
  </si>
  <si>
    <t>PERFIL LIPIDICO</t>
  </si>
  <si>
    <t>329</t>
  </si>
  <si>
    <t>PERFIL LIPIDICO AVANZADO</t>
  </si>
  <si>
    <t>31</t>
  </si>
  <si>
    <t>PCL-0480</t>
  </si>
  <si>
    <t>PERFIL PEDIATRICO</t>
  </si>
  <si>
    <t>293</t>
  </si>
  <si>
    <t>PCL-0484</t>
  </si>
  <si>
    <t>PERFIL RENAL</t>
  </si>
  <si>
    <t>277</t>
  </si>
  <si>
    <t>PCL-0595</t>
  </si>
  <si>
    <t>PERFIL TORCH</t>
  </si>
  <si>
    <t>311</t>
  </si>
  <si>
    <t>PCL-0589</t>
  </si>
  <si>
    <t>PERFIL URINARIO</t>
  </si>
  <si>
    <t>6722</t>
  </si>
  <si>
    <t>PCL-0078</t>
  </si>
  <si>
    <t>PLOMO EN ORINA 24 HORAS</t>
  </si>
  <si>
    <t>6680</t>
  </si>
  <si>
    <t>PCL-0079</t>
  </si>
  <si>
    <t>PLOMO EN SANGRE</t>
  </si>
  <si>
    <t>6550</t>
  </si>
  <si>
    <t>PROCALCITONINA</t>
  </si>
  <si>
    <t>6034</t>
  </si>
  <si>
    <t>PROGESTERONA</t>
  </si>
  <si>
    <t>6840</t>
  </si>
  <si>
    <t>PROINSULINA</t>
  </si>
  <si>
    <t>6039</t>
  </si>
  <si>
    <t>PROLACTINA</t>
  </si>
  <si>
    <t>6801</t>
  </si>
  <si>
    <t>PROPEPTIDO COLAGENO TIPO I (P1NP)</t>
  </si>
  <si>
    <t>1210</t>
  </si>
  <si>
    <t>PCL-0093</t>
  </si>
  <si>
    <t>PROTEINA C COAGULACION (ACTIVIDAD)</t>
  </si>
  <si>
    <t>7013</t>
  </si>
  <si>
    <t>PCL-0464</t>
  </si>
  <si>
    <t>PROTEINA C REACTIVA CUANTITATIVA</t>
  </si>
  <si>
    <t>1220</t>
  </si>
  <si>
    <t>PCL-0095</t>
  </si>
  <si>
    <t>PROTEINA S COAGULACION (ACTIVIDAD)</t>
  </si>
  <si>
    <t>6793</t>
  </si>
  <si>
    <t>PCL-0709</t>
  </si>
  <si>
    <t>PROTEINA S100b</t>
  </si>
  <si>
    <t>2022</t>
  </si>
  <si>
    <t>PCL-0567</t>
  </si>
  <si>
    <t>PROTEINAS TOTALES Y FRACCIONADAS</t>
  </si>
  <si>
    <t>2191</t>
  </si>
  <si>
    <t>PCL-0570</t>
  </si>
  <si>
    <t>PROTEINURIA EN ORINA PARCIAL</t>
  </si>
  <si>
    <t>1100</t>
  </si>
  <si>
    <t>PCL-0686</t>
  </si>
  <si>
    <t>PRUEBA DE FRAGILIDAD GLOBULAR</t>
  </si>
  <si>
    <t>2052</t>
  </si>
  <si>
    <t>PCL-0021</t>
  </si>
  <si>
    <t>PSEUDOCOLINESTERASA</t>
  </si>
  <si>
    <t>6665</t>
  </si>
  <si>
    <t>PCL-0727</t>
  </si>
  <si>
    <t>RENINA</t>
  </si>
  <si>
    <t>321</t>
  </si>
  <si>
    <t>PCL-0395</t>
  </si>
  <si>
    <t>RETICULOCITOS</t>
  </si>
  <si>
    <t>7161</t>
  </si>
  <si>
    <t>RUBEOLA IgG (TEST AVIDEZ)</t>
  </si>
  <si>
    <t>2292</t>
  </si>
  <si>
    <t>PCL-0486</t>
  </si>
  <si>
    <t>SATURACION DE TRANSFERRINA</t>
  </si>
  <si>
    <t>6032</t>
  </si>
  <si>
    <t>PCL-0359</t>
  </si>
  <si>
    <t>T3 LIBRE</t>
  </si>
  <si>
    <t>6026</t>
  </si>
  <si>
    <t>PCL-0361</t>
  </si>
  <si>
    <t>T3 TOTAL</t>
  </si>
  <si>
    <t>6027</t>
  </si>
  <si>
    <t>PCL-0363</t>
  </si>
  <si>
    <t>T4 LIBRE</t>
  </si>
  <si>
    <t>6028</t>
  </si>
  <si>
    <t>PCL-0365</t>
  </si>
  <si>
    <t>T4 TOTAL</t>
  </si>
  <si>
    <t>6037</t>
  </si>
  <si>
    <t>PCL-0367</t>
  </si>
  <si>
    <t>TESTOSTERONA LIBRE</t>
  </si>
  <si>
    <t>6008</t>
  </si>
  <si>
    <t>PCL-0369</t>
  </si>
  <si>
    <t>TESTOSTERONA TOTAL</t>
  </si>
  <si>
    <t>6</t>
  </si>
  <si>
    <t>PCL-0396</t>
  </si>
  <si>
    <t>TIEMPO DE PROTROMBINA (PT)</t>
  </si>
  <si>
    <t>6093</t>
  </si>
  <si>
    <t>PCL-0371</t>
  </si>
  <si>
    <t>TIROGLOBULINA</t>
  </si>
  <si>
    <t>2015</t>
  </si>
  <si>
    <t>PCL-0578</t>
  </si>
  <si>
    <t>TRANSAMINASA OXALACETICA (AST/TGO)</t>
  </si>
  <si>
    <t>2016</t>
  </si>
  <si>
    <t>PCL-0579</t>
  </si>
  <si>
    <t>TRANSAMINASA PIRUVICA (ALT/TGP)</t>
  </si>
  <si>
    <t>6082</t>
  </si>
  <si>
    <t>TRANSFERRINA</t>
  </si>
  <si>
    <t>3052</t>
  </si>
  <si>
    <t>TRANSFERRINA +INMUNOTEST HECES(FIT)</t>
  </si>
  <si>
    <t>2008</t>
  </si>
  <si>
    <t>PCL-0581</t>
  </si>
  <si>
    <t>TRIGLICERIDOS</t>
  </si>
  <si>
    <t>3261</t>
  </si>
  <si>
    <t>PCL-0085</t>
  </si>
  <si>
    <t>TRIPSINA EN HECES</t>
  </si>
  <si>
    <t>6018</t>
  </si>
  <si>
    <t>PCL-0583</t>
  </si>
  <si>
    <t>TROPONINA I</t>
  </si>
  <si>
    <t>6738</t>
  </si>
  <si>
    <t>PCL-0081</t>
  </si>
  <si>
    <t>VANADIO EN SANGRE</t>
  </si>
  <si>
    <t>7084</t>
  </si>
  <si>
    <t>PCL-0626</t>
  </si>
  <si>
    <t>VDRL CUANTITATIVO</t>
  </si>
  <si>
    <t>6719</t>
  </si>
  <si>
    <t>PCL-0022</t>
  </si>
  <si>
    <t>VITAMINA A (RETINOL)</t>
  </si>
  <si>
    <t>6770</t>
  </si>
  <si>
    <t>PCL-0024</t>
  </si>
  <si>
    <t>VITAMINA B1 (TIAMINA)</t>
  </si>
  <si>
    <t>6054</t>
  </si>
  <si>
    <t>PCL-0028</t>
  </si>
  <si>
    <t>VITAMINA B12</t>
  </si>
  <si>
    <t>6714</t>
  </si>
  <si>
    <t>PCL-0726</t>
  </si>
  <si>
    <t>VITAMINA B6</t>
  </si>
  <si>
    <t>6706</t>
  </si>
  <si>
    <t>PCL-0030</t>
  </si>
  <si>
    <t>VITAMINA C</t>
  </si>
  <si>
    <t>6615</t>
  </si>
  <si>
    <t>PCL-0622</t>
  </si>
  <si>
    <t>VITAMINA D (25 OH TOTAL)</t>
  </si>
  <si>
    <t>6720</t>
  </si>
  <si>
    <t>PCL-0034</t>
  </si>
  <si>
    <t>VITAMINA E</t>
  </si>
  <si>
    <t>6708</t>
  </si>
  <si>
    <t>PCL-0036</t>
  </si>
  <si>
    <t>VITAMINA K</t>
  </si>
  <si>
    <t>7486</t>
  </si>
  <si>
    <t>PCL-0671</t>
  </si>
  <si>
    <t>YEMA DE HUEVO IgG</t>
  </si>
  <si>
    <t>7499</t>
  </si>
  <si>
    <t>YEMA DE HUEVO IgG4</t>
  </si>
  <si>
    <t>6678</t>
  </si>
  <si>
    <t>PCL-0083</t>
  </si>
  <si>
    <t>ZINC EN SANGRE</t>
  </si>
  <si>
    <t>NO APLICA</t>
  </si>
  <si>
    <t>PCL-0003</t>
  </si>
  <si>
    <t>ADENOSIN DEAMINASA (ADA) EN LCR</t>
  </si>
  <si>
    <t>PCL-0004</t>
  </si>
  <si>
    <t>ADENOSIN DEAMINASA (ADA) EN LIQUIDO PERITONEAL</t>
  </si>
  <si>
    <t>PCL-0005</t>
  </si>
  <si>
    <t>ADENOSIN DEAMINASA (ADA) EN LIQUIDO PLEURAL</t>
  </si>
  <si>
    <t>PCL-0006</t>
  </si>
  <si>
    <t>ADENOSIN DEAMINASA (ADA) EN LIQUIDO SINOVIAL</t>
  </si>
  <si>
    <t>PCL-0019</t>
  </si>
  <si>
    <t>PERFIL METABOLICO EN ORINA</t>
  </si>
  <si>
    <t>PCL-0020</t>
  </si>
  <si>
    <t>PERFIL METABOLICO EN SANGRE</t>
  </si>
  <si>
    <t>PCL-0038</t>
  </si>
  <si>
    <t>17-HIDROXICORTICOSTEROIDES (17-OHCS)</t>
  </si>
  <si>
    <t>PCL-0039</t>
  </si>
  <si>
    <t>17-HIDROXIPROGESTERONA (17-OHP)</t>
  </si>
  <si>
    <t>PCL-0040</t>
  </si>
  <si>
    <t>17-HIDROXIPROGESTERONA (17-OHP) NEONATAL</t>
  </si>
  <si>
    <t>PCL-0043</t>
  </si>
  <si>
    <t>ALFA-1 ANTITRIPSINA (AAT) EN SUERO</t>
  </si>
  <si>
    <t>PCL-0047</t>
  </si>
  <si>
    <t>DEHIDROEPIANDROSTERONA (DHEA)</t>
  </si>
  <si>
    <t>PCL-0050</t>
  </si>
  <si>
    <t>FACTOR DE CRECIMIENTO INSULINOIDE-1 (SOMATOMEDINA C)</t>
  </si>
  <si>
    <t>PCL-0051</t>
  </si>
  <si>
    <t>GLOBULINA TRANSPORTADORA DE HORMONAS SEXUALES (SHBG)</t>
  </si>
  <si>
    <t>PCL-0052</t>
  </si>
  <si>
    <t>HORMONA ADRENOCORTICOTROPICA (ACTH) 30MIN</t>
  </si>
  <si>
    <t>PCL-0053</t>
  </si>
  <si>
    <t>HORMONA ADRENOCORTICOTROPICA (ACTH) 60MIN</t>
  </si>
  <si>
    <t>PCL-0054</t>
  </si>
  <si>
    <t>HORMONA ADRENOCORTICOTROPICA (ACTH) BASAL</t>
  </si>
  <si>
    <t>PCL-0055</t>
  </si>
  <si>
    <t>HORMONA ANTIMULLERIANA (AMH)</t>
  </si>
  <si>
    <t>PCL-0056</t>
  </si>
  <si>
    <t>HORMONA DE CRECIMIENTO (HGH) (POST EJERCICIO) 20MIN</t>
  </si>
  <si>
    <t>PCL-0057</t>
  </si>
  <si>
    <t>HORMONA DE CRECIMIENTO (HGH) (POST EJERCICIO) 30MIN</t>
  </si>
  <si>
    <t>PCL-0058</t>
  </si>
  <si>
    <t>HORMONA DE CRECIMIENTO (HGH) (POST EJERCICIO) 60MIN</t>
  </si>
  <si>
    <t>PCL-0059</t>
  </si>
  <si>
    <t>HORMONA DE CRECIMIENTO (HGH) (POST EJERCICIO) 90MIN</t>
  </si>
  <si>
    <t>PCL-0060</t>
  </si>
  <si>
    <t>HORMONA DE CRECIMIENTO (HGH) (SOMATOTROPINA)</t>
  </si>
  <si>
    <t>PCL-0061</t>
  </si>
  <si>
    <t>HORMONA DE CRECIMIENTO (HGH) (SOMATOTROPINA) 120MIN</t>
  </si>
  <si>
    <t>PCL-0062</t>
  </si>
  <si>
    <t>HORMONA DE CRECIMIENTO (HGH) (SOMATOTROPINA) 60MIN</t>
  </si>
  <si>
    <t>PCL-0063</t>
  </si>
  <si>
    <t>HORMONA DE CRECIMIENTO (HGH) (SOMATOTROPINA) 90MIN</t>
  </si>
  <si>
    <t>PCL-0065</t>
  </si>
  <si>
    <t>MACROPROLACTINEMIA</t>
  </si>
  <si>
    <t>PCL-0066</t>
  </si>
  <si>
    <t>PERFIL TIROIDEO COMPLETO</t>
  </si>
  <si>
    <t>PCL-0068</t>
  </si>
  <si>
    <t>PROTEINA EPIDIDIMAL HUMANA 4 (HE4)</t>
  </si>
  <si>
    <t>PCL-0071</t>
  </si>
  <si>
    <t>DETERMINACION DE CIANURO</t>
  </si>
  <si>
    <t>PCL-0072</t>
  </si>
  <si>
    <t>DETERMINACION DE COBRE EN ORINA</t>
  </si>
  <si>
    <t>PCL-0073</t>
  </si>
  <si>
    <t>DETERMINACION DE COBRE EN PLASMA</t>
  </si>
  <si>
    <t>PCL-0075</t>
  </si>
  <si>
    <t>DETERMINACION DE MERCURIO EN ORINA 24 HORAS</t>
  </si>
  <si>
    <t>PCL-0084</t>
  </si>
  <si>
    <t>PANEL DE METALES PESADOS</t>
  </si>
  <si>
    <t>PCL-0092</t>
  </si>
  <si>
    <t>FACTOR VON WILLEBRAND</t>
  </si>
  <si>
    <t>PCL-0094</t>
  </si>
  <si>
    <t>PROTEINA C COAGULACION (CONCENTRACION)</t>
  </si>
  <si>
    <t>PCL-0096</t>
  </si>
  <si>
    <t>PROTEINA S COAGULACION (CONCENTRACION)</t>
  </si>
  <si>
    <t>PCL-0097</t>
  </si>
  <si>
    <t>(IGE) ESPECIFICA DE GLUTEN</t>
  </si>
  <si>
    <t>PCL-0098</t>
  </si>
  <si>
    <t>(IGE) ESPECIFICA DE HUEVO</t>
  </si>
  <si>
    <t>PCL-0099</t>
  </si>
  <si>
    <t>(IGE) ESPECIFICA DE TRIGO</t>
  </si>
  <si>
    <t>PCL-0100</t>
  </si>
  <si>
    <t>AC. ANTI- SMITH (RNP)</t>
  </si>
  <si>
    <t>PCL-0101</t>
  </si>
  <si>
    <t>AC. ANTI- SMITH (SM)</t>
  </si>
  <si>
    <t>PCL-0102</t>
  </si>
  <si>
    <t>AC. ANTI- SS-A/RO</t>
  </si>
  <si>
    <t>PCL-0103</t>
  </si>
  <si>
    <t>AC. ANTI- SS-B/LA</t>
  </si>
  <si>
    <t>PCL-0104</t>
  </si>
  <si>
    <t>AC. ANTI-ADN DOBLE CADENA</t>
  </si>
  <si>
    <t>PCL-0107</t>
  </si>
  <si>
    <t>AC. ANTI-CARDIOLIPINA (ACA) (IGG)</t>
  </si>
  <si>
    <t>PCL-0109</t>
  </si>
  <si>
    <t>AC. ANTI-CARDIOLIPINA (ACA) (IGG/IGM)</t>
  </si>
  <si>
    <t>PCL-0111</t>
  </si>
  <si>
    <t>AC. ANTI-CARDIOLIPINA (ACA) (IGM)</t>
  </si>
  <si>
    <t>PCL-0113</t>
  </si>
  <si>
    <t>AC. ANTICITOPLASMATICO (ANCA)</t>
  </si>
  <si>
    <t>PCL-0114</t>
  </si>
  <si>
    <t>AC. ANTI-DNA</t>
  </si>
  <si>
    <t>PCL-0115</t>
  </si>
  <si>
    <t>AC. ANTI-GLIADINA (IGA)</t>
  </si>
  <si>
    <t>PCL-0116</t>
  </si>
  <si>
    <t>AC. ANTI-GLIADINA (IGG)</t>
  </si>
  <si>
    <t>PCL-0117</t>
  </si>
  <si>
    <t>AC. ANTI-JO1</t>
  </si>
  <si>
    <t>PCL-0118</t>
  </si>
  <si>
    <t>AC. ANTI-MUSCULO LISO</t>
  </si>
  <si>
    <t>PCL-0119</t>
  </si>
  <si>
    <t>AC. ANTINUCLEARES (ANA)</t>
  </si>
  <si>
    <t>PCL-0123</t>
  </si>
  <si>
    <t>AC. ANTI-SACCHAROMYCES CEREVISIAE A</t>
  </si>
  <si>
    <t>PCL-0124</t>
  </si>
  <si>
    <t>AC. ANTI-SACCHAROMYCES CEREVISIAE G</t>
  </si>
  <si>
    <t>PCL-0125</t>
  </si>
  <si>
    <t>AC. ANTI-SCL 70</t>
  </si>
  <si>
    <t>PCL-0126</t>
  </si>
  <si>
    <t>AC. ANTI-TRANSGLUTAMINASA (IGA)</t>
  </si>
  <si>
    <t>PCL-0127</t>
  </si>
  <si>
    <t>AC. ANTI-TRANSGLUTAMINASA (IGG)</t>
  </si>
  <si>
    <t>PCL-0131</t>
  </si>
  <si>
    <t>CACAO (IGG4)</t>
  </si>
  <si>
    <t>PCL-0134</t>
  </si>
  <si>
    <t>CHAGAS</t>
  </si>
  <si>
    <t>PCL-0135</t>
  </si>
  <si>
    <t>CHLAMYDIA PNEUMONIE (IGG)</t>
  </si>
  <si>
    <t>PCL-0137</t>
  </si>
  <si>
    <t>CHLAMYDIA PNEUMONIE (IGM)</t>
  </si>
  <si>
    <t>PCL-0140</t>
  </si>
  <si>
    <t>CHLAMYDIA TRACHOMATIS (IGG/IGM)</t>
  </si>
  <si>
    <t>PCL-0142</t>
  </si>
  <si>
    <t>COMPLEMENTO HEMOLITICO 50 (CH50)</t>
  </si>
  <si>
    <t>PCL-0144</t>
  </si>
  <si>
    <t>HELICOBACTER PYLORI EN SANGRE (IGG) (CUANTIFICADO)</t>
  </si>
  <si>
    <t>PCL-0146</t>
  </si>
  <si>
    <t>HELICOBACTER PYLORI EN SANGRE (IGG/IGM) (CUANTIFICADO)</t>
  </si>
  <si>
    <t>PCL-0148</t>
  </si>
  <si>
    <t>HELICOBACTER PYLORI EN SANGRE (IGM) (CUANTIFICADO)</t>
  </si>
  <si>
    <t>PCL-0150</t>
  </si>
  <si>
    <t>HERPES SIMPLEX I (IGG)</t>
  </si>
  <si>
    <t>PCL-0151</t>
  </si>
  <si>
    <t>HERPES SIMPLEX I (IGG/IGM)</t>
  </si>
  <si>
    <t>PCL-0152</t>
  </si>
  <si>
    <t>HERPES SIMPLEX I (IGM)</t>
  </si>
  <si>
    <t>PCL-0154</t>
  </si>
  <si>
    <t>HERPES SIMPLEX II (IGG)</t>
  </si>
  <si>
    <t>PCL-0155</t>
  </si>
  <si>
    <t>HERPES SIMPLEX II (IGG/IGM)</t>
  </si>
  <si>
    <t>PCL-0156</t>
  </si>
  <si>
    <t>HERPES SIMPLEX II (IGM)</t>
  </si>
  <si>
    <t>PCL-0161</t>
  </si>
  <si>
    <t>INMUNOGLOBULINA A (IGA) SECRETORA</t>
  </si>
  <si>
    <t>PCL-0163</t>
  </si>
  <si>
    <t>LECHE DE VACA (IGE)</t>
  </si>
  <si>
    <t>PCL-0165</t>
  </si>
  <si>
    <t>PANEL ALIMENTOS BASICOS MEDIADO (IGE)</t>
  </si>
  <si>
    <t>PCL-0166</t>
  </si>
  <si>
    <t>PANEL ALIMENTOS BASICOS MEDIADO (IGG)</t>
  </si>
  <si>
    <t>PCL-0167</t>
  </si>
  <si>
    <t>PANEL ALIMENTOS BASICOS MEDIADO (IGG4)</t>
  </si>
  <si>
    <t>PCL-0177</t>
  </si>
  <si>
    <t>PANEL DE MEDICAMENTOS COMPLETO (IGG)</t>
  </si>
  <si>
    <t>PCL-0178</t>
  </si>
  <si>
    <t>PANEL INHALANTES BASICOS MEDIADO POR (IGE)</t>
  </si>
  <si>
    <t>PCL-0179</t>
  </si>
  <si>
    <t>PANEL INHALANTES BASICOS MEDIADO POR (IGG)</t>
  </si>
  <si>
    <t>PCL-0180</t>
  </si>
  <si>
    <t>PANEL INHALANTES BASICOS MEDIADO POR (IGG4)</t>
  </si>
  <si>
    <t>PCL-0183</t>
  </si>
  <si>
    <t>PARVOVIRUS B19 (IGM/IGG)</t>
  </si>
  <si>
    <t>PCL-0198</t>
  </si>
  <si>
    <t>RUBEOLA (IGG/IGM)</t>
  </si>
  <si>
    <t>PCL-0202</t>
  </si>
  <si>
    <t>SARAMPION (IGG)</t>
  </si>
  <si>
    <t>PCL-0204</t>
  </si>
  <si>
    <t>SARAMPION (IGG/IGM)</t>
  </si>
  <si>
    <t>PCL-0206</t>
  </si>
  <si>
    <t>SARAMPION (IGM)</t>
  </si>
  <si>
    <t>PCL-0208</t>
  </si>
  <si>
    <t>TOXOPLASMOSIS (IGG)</t>
  </si>
  <si>
    <t>PCL-0210</t>
  </si>
  <si>
    <t>TOXOPLASMOSIS (IGG/IGM)</t>
  </si>
  <si>
    <t>PCL-0212</t>
  </si>
  <si>
    <t>TOXOPLASMOSIS (IGM)</t>
  </si>
  <si>
    <t>PCL-0216</t>
  </si>
  <si>
    <t>VARICELA ZOSTER (IGG/IGM)</t>
  </si>
  <si>
    <t>PCL-0223</t>
  </si>
  <si>
    <t>PERFIL ANTI INFLAMATORIO</t>
  </si>
  <si>
    <t>PCL-0224</t>
  </si>
  <si>
    <t>PERFIL DE ACNE</t>
  </si>
  <si>
    <t>PCL-0226</t>
  </si>
  <si>
    <t>PERFIL HIPERTENSIVO RENAL</t>
  </si>
  <si>
    <t>PCL-0227</t>
  </si>
  <si>
    <t>PERFIL LUPUS DIAGNOSTICO</t>
  </si>
  <si>
    <t>PCL-0228</t>
  </si>
  <si>
    <t>PERFIL NEONATAL (TARDIO)</t>
  </si>
  <si>
    <t>PCL-0229</t>
  </si>
  <si>
    <t>PERFIL OSTEOPOROSIS</t>
  </si>
  <si>
    <t>PCL-0230</t>
  </si>
  <si>
    <t>PERFIL PREECLAMPSIA</t>
  </si>
  <si>
    <t>PCL-0231</t>
  </si>
  <si>
    <t>PERFIL REUMATOIDEO</t>
  </si>
  <si>
    <t>PCL-0233</t>
  </si>
  <si>
    <t>ANTI-CCP</t>
  </si>
  <si>
    <t>PCL-0236</t>
  </si>
  <si>
    <t>CADENA LIVIANA KAPPA LIBRE EN SUERO</t>
  </si>
  <si>
    <t>PCL-0239</t>
  </si>
  <si>
    <t>CATECOLAMINAS EN SANGRE</t>
  </si>
  <si>
    <t>PCL-0240</t>
  </si>
  <si>
    <t>CELULAS LE</t>
  </si>
  <si>
    <t>PCL-0246</t>
  </si>
  <si>
    <t>ELECTROFORESIS DE HEMOGLOBINA</t>
  </si>
  <si>
    <t>PCL-0252</t>
  </si>
  <si>
    <t>ELECTROFORESIS DE PROTEINAS EN SUERO</t>
  </si>
  <si>
    <t>PCL-0254</t>
  </si>
  <si>
    <t>FOSFATASA ACIDA PROSTATICA</t>
  </si>
  <si>
    <t>PCL-0257</t>
  </si>
  <si>
    <t>GASTRINA BASAL</t>
  </si>
  <si>
    <t>PCL-0267</t>
  </si>
  <si>
    <t>PERFIL FERROCINETICA</t>
  </si>
  <si>
    <t>PCL-0268</t>
  </si>
  <si>
    <t>PROTEINAS DE BENCE-JONES</t>
  </si>
  <si>
    <t>PCL-0277</t>
  </si>
  <si>
    <t>BENZODIACEPINA EN ORINA</t>
  </si>
  <si>
    <t>PCL-0281</t>
  </si>
  <si>
    <t>DIFENILHIDANTOINA (EPAMIN)</t>
  </si>
  <si>
    <t>PCL-0290</t>
  </si>
  <si>
    <t>METADONA EN SANGRE</t>
  </si>
  <si>
    <t>PCL-0291</t>
  </si>
  <si>
    <t>METANFETAMINAS EN ORINA</t>
  </si>
  <si>
    <t>PCL-0296</t>
  </si>
  <si>
    <t>NICOTINA EN ORINA PARCIAL</t>
  </si>
  <si>
    <t>PCL-0297</t>
  </si>
  <si>
    <t>OPIACEO CUANTITATIVO EN ORINA</t>
  </si>
  <si>
    <t>PCL-0301</t>
  </si>
  <si>
    <t>ANALISIS CUALITATIVO DE CALCULOS URINARIOS</t>
  </si>
  <si>
    <t>PCL-0306</t>
  </si>
  <si>
    <t>CORTISOL A.M</t>
  </si>
  <si>
    <t>PCL-0308</t>
  </si>
  <si>
    <t>CORTISOL P.M</t>
  </si>
  <si>
    <t>PCL-0312</t>
  </si>
  <si>
    <t>CORTISOL SERICO 180 MIN</t>
  </si>
  <si>
    <t>PCL-0316</t>
  </si>
  <si>
    <t>CORTISOL SERICO 300 MIN</t>
  </si>
  <si>
    <t>PCL-0318</t>
  </si>
  <si>
    <t>CORTISOL SERICO 45 MIN</t>
  </si>
  <si>
    <t>PCL-0320</t>
  </si>
  <si>
    <t>CORTISOL SERICO 60 MIN</t>
  </si>
  <si>
    <t>PCL-0322</t>
  </si>
  <si>
    <t>DEHIDROEPIANDROSTERONA SULFATO (DHEAS)</t>
  </si>
  <si>
    <t>PCL-0327</t>
  </si>
  <si>
    <t>HORMONA FOLICULO ESTIMULANTE (FSH)</t>
  </si>
  <si>
    <t>PCL-0329</t>
  </si>
  <si>
    <t>HORMONA FOLICULO ESTIMULANTE (FSH) 120 MIN</t>
  </si>
  <si>
    <t>PCL-0331</t>
  </si>
  <si>
    <t>HORMONA FOLICULO ESTIMULANTE (FSH) 60 MIN</t>
  </si>
  <si>
    <t>PCL-0333</t>
  </si>
  <si>
    <t>HORMONA LUTEINIZANTE (LH)</t>
  </si>
  <si>
    <t>PCL-0335</t>
  </si>
  <si>
    <t>HORMONA LUTEINIZANTE (LH) 120MIN</t>
  </si>
  <si>
    <t>PCL-0337</t>
  </si>
  <si>
    <t>HORMONA LUTEINIZANTE (LH) 240MIN</t>
  </si>
  <si>
    <t>PCL-0339</t>
  </si>
  <si>
    <t>HORMONA LUTEINIZANTE (LH) 60MIN</t>
  </si>
  <si>
    <t>PCL-0341</t>
  </si>
  <si>
    <t>HORMONA PARATIROIDEA (PTH)</t>
  </si>
  <si>
    <t>PCL-0342</t>
  </si>
  <si>
    <t>HORMONA TIROIDEA ESTIMULANTE (TSH)</t>
  </si>
  <si>
    <t>PCL-0345</t>
  </si>
  <si>
    <t>PEPTIDO NATRIURETICO (PN) TIPO B</t>
  </si>
  <si>
    <t>PCL-0350</t>
  </si>
  <si>
    <t>PROCALCITONINA CUANTITATIVA</t>
  </si>
  <si>
    <t>PCL-0355</t>
  </si>
  <si>
    <t>PROLACTINA 180MIN</t>
  </si>
  <si>
    <t>PCL-0357</t>
  </si>
  <si>
    <t>PROLACTINA 90MIN</t>
  </si>
  <si>
    <t>PCL-0377</t>
  </si>
  <si>
    <t>COPROANALISIS SUDAN III</t>
  </si>
  <si>
    <t>PCL-0379</t>
  </si>
  <si>
    <t>PERFIL DIARREA ADULTOS</t>
  </si>
  <si>
    <t>PCL-0380</t>
  </si>
  <si>
    <t>PERFIL DIARREA PEDIATRICO</t>
  </si>
  <si>
    <t>PCL-0381</t>
  </si>
  <si>
    <t>SANGRE OCULTA EN HECES</t>
  </si>
  <si>
    <t>PCL-0382</t>
  </si>
  <si>
    <t>TEST DE GRAHAM</t>
  </si>
  <si>
    <t>PCL-0383</t>
  </si>
  <si>
    <t>TRANSFERRINA Y SANGRE OCULTA EN HECES (FOB)</t>
  </si>
  <si>
    <t>PCL-0391</t>
  </si>
  <si>
    <t>GRUPO SANGUINEO Y FACTOR RH</t>
  </si>
  <si>
    <t>PCL-0394</t>
  </si>
  <si>
    <t>PRUEBA DE DREPANOCITOS</t>
  </si>
  <si>
    <t>PCL-0398</t>
  </si>
  <si>
    <t>TIEMPO DE TROMBOPLASTINA (PTT)</t>
  </si>
  <si>
    <t>PCL-0399</t>
  </si>
  <si>
    <t>VELOCIDAD DE SEDIMENTACION GLOBULAR (VSG)</t>
  </si>
  <si>
    <t>PCL-0400</t>
  </si>
  <si>
    <t>AC. ANTI-TIROGLOBULINICOS (TG)</t>
  </si>
  <si>
    <t>PCL-0402</t>
  </si>
  <si>
    <t>AC. CUALITATIVOS SARS-COV-2</t>
  </si>
  <si>
    <t>PCL-0403</t>
  </si>
  <si>
    <t>ALFAFETOPROTEINA</t>
  </si>
  <si>
    <t>PCL-0405</t>
  </si>
  <si>
    <t>AMARILLO NRO 5</t>
  </si>
  <si>
    <t>PCL-0406</t>
  </si>
  <si>
    <t>ANTIGENO CARCINOEMBRIONARIO (CEA)</t>
  </si>
  <si>
    <t>PCL-0408</t>
  </si>
  <si>
    <t>ANTIGENO PROSTATICO ESPECIFICO TOTAL</t>
  </si>
  <si>
    <t>PCL-0410</t>
  </si>
  <si>
    <t>ANTIGENO PROSTATICO ESPECIFICO LIBRE</t>
  </si>
  <si>
    <t>PCL-0413</t>
  </si>
  <si>
    <t>ANTIGENOS SARS-COV-2</t>
  </si>
  <si>
    <t>PCL-0414</t>
  </si>
  <si>
    <t>ANTI-PEROX- TIROIDEA (ANTI TPO)</t>
  </si>
  <si>
    <t>PCL-0416</t>
  </si>
  <si>
    <t>ANTI-TP (TREPONEMA PALLIDUM / SIFILIS)</t>
  </si>
  <si>
    <t>PCL-0426</t>
  </si>
  <si>
    <t>CITOMEGALOVIRUS (IGG/IGM)</t>
  </si>
  <si>
    <t>PCL-0432</t>
  </si>
  <si>
    <t>DENGUE (IGM/IGG)</t>
  </si>
  <si>
    <t>PCL-0435</t>
  </si>
  <si>
    <t>EPSTEIN-BARR (IGG/IGM)</t>
  </si>
  <si>
    <t>PCL-0439</t>
  </si>
  <si>
    <t>GONADOTROPINA CORIONICA HUMANA-BETA CUALITATIVA (PRUEBA DE EMBARAZO)</t>
  </si>
  <si>
    <t>PCL-0440</t>
  </si>
  <si>
    <t>GONADOTROPINA CORIONICA HUMANA-BETA CUANTITATIVA (PRUEBA DE EMBARAZO)</t>
  </si>
  <si>
    <t>PCL-0441</t>
  </si>
  <si>
    <t>HBS AG HEPATITIS B ANTIGENO DE SUPERFICIE</t>
  </si>
  <si>
    <t>PCL-0443</t>
  </si>
  <si>
    <t>HEPATITIS A (IGG)</t>
  </si>
  <si>
    <t>PCL-0444</t>
  </si>
  <si>
    <t>HEPATITIS A (IGM)</t>
  </si>
  <si>
    <t>PCL-0445</t>
  </si>
  <si>
    <t>HEPATITIS A (IGM/IGG)</t>
  </si>
  <si>
    <t>PCL-0446</t>
  </si>
  <si>
    <t>HEPATITIS C (IGG)</t>
  </si>
  <si>
    <t>PCL-0447</t>
  </si>
  <si>
    <t>HIV 1/2</t>
  </si>
  <si>
    <t>PCL-0448</t>
  </si>
  <si>
    <t>HIV 1/2 (CUALITATIVO)</t>
  </si>
  <si>
    <t>PCL-0455</t>
  </si>
  <si>
    <t>MYCOPLASMA (IGG) CUANTITATIVO</t>
  </si>
  <si>
    <t>PCL-0457</t>
  </si>
  <si>
    <t>MYCOPLASMA (IGM) CUANTITATIVO</t>
  </si>
  <si>
    <t>PCL-0459</t>
  </si>
  <si>
    <t>MYCOPLASMA (IGM/IGG) CUANTITATIVO</t>
  </si>
  <si>
    <t>PCL-0462</t>
  </si>
  <si>
    <t>PERFIL PROSTATICO COMPLETO</t>
  </si>
  <si>
    <t>PCL-0465</t>
  </si>
  <si>
    <t>R.A TEST CUANTITATIVO</t>
  </si>
  <si>
    <t>PCL-0466</t>
  </si>
  <si>
    <t>ROTAVIRUS/ADENOVIRUS EN HECES</t>
  </si>
  <si>
    <t>PCL-0468</t>
  </si>
  <si>
    <t>TITULO ASO (ASTO)</t>
  </si>
  <si>
    <t>PCL-0469</t>
  </si>
  <si>
    <t>VDRL EN LCR</t>
  </si>
  <si>
    <t>PCL-0470</t>
  </si>
  <si>
    <t>VDRL EN SUERO</t>
  </si>
  <si>
    <t>PCL-0472</t>
  </si>
  <si>
    <t>PERFIL ANTICUERPOS ANTI-TIROIDEOS</t>
  </si>
  <si>
    <t>PCL-0473</t>
  </si>
  <si>
    <t>PERFIL CARDIACO</t>
  </si>
  <si>
    <t>PCL-0474</t>
  </si>
  <si>
    <t>PERFIL COVID</t>
  </si>
  <si>
    <t>PCL-0475</t>
  </si>
  <si>
    <t>PERFIL DE RIESGO CARDIACO</t>
  </si>
  <si>
    <t>PCL-0476</t>
  </si>
  <si>
    <t>PERFIL FUNCIONAL PLAQUETARIO</t>
  </si>
  <si>
    <t>PCL-0479</t>
  </si>
  <si>
    <t>PERFIL OCUPACIONAL</t>
  </si>
  <si>
    <t>PCL-0481</t>
  </si>
  <si>
    <t>PERFIL PREEMPLEO</t>
  </si>
  <si>
    <t>PCL-0482</t>
  </si>
  <si>
    <t>PERFIL PRENATAL</t>
  </si>
  <si>
    <t>PCL-0483</t>
  </si>
  <si>
    <t>PERFIL PREOPERATORIO</t>
  </si>
  <si>
    <t>PCL-0490</t>
  </si>
  <si>
    <t>ACIDO URICO EN SUERO</t>
  </si>
  <si>
    <t>PCL-0496</t>
  </si>
  <si>
    <t>CALCIO EN SUERO</t>
  </si>
  <si>
    <t>PCL-0507</t>
  </si>
  <si>
    <t>COLESTEROL TOTAL</t>
  </si>
  <si>
    <t>PCL-0508</t>
  </si>
  <si>
    <t>CREATINA CINASA (CK)</t>
  </si>
  <si>
    <t>PCL-0509</t>
  </si>
  <si>
    <t>CREATINA CINASA MB (CK-MB)</t>
  </si>
  <si>
    <t>PCL-0513</t>
  </si>
  <si>
    <t>CREATININA EN SUERO</t>
  </si>
  <si>
    <t>PCL-0519</t>
  </si>
  <si>
    <t>ELECTROLITOS EN SANGRE</t>
  </si>
  <si>
    <t>PCL-0525</t>
  </si>
  <si>
    <t>FOSFORO EN SUERO</t>
  </si>
  <si>
    <t>PCL-0526</t>
  </si>
  <si>
    <t>GAMMA GLUTAMIL TRANSFERASA (GGT)</t>
  </si>
  <si>
    <t>PCL-0530</t>
  </si>
  <si>
    <t>GLICEMIA 120 MIN</t>
  </si>
  <si>
    <t>PCL-0531</t>
  </si>
  <si>
    <t>GLICEMIA 30 MIN</t>
  </si>
  <si>
    <t>PCL-0532</t>
  </si>
  <si>
    <t>GLICEMIA 60 MIN</t>
  </si>
  <si>
    <t>PCL-0533</t>
  </si>
  <si>
    <t>GLICEMIA 90 MIN</t>
  </si>
  <si>
    <t>PCL-0534</t>
  </si>
  <si>
    <t>GLICEMIA POSPRANDIAL 1 HORA</t>
  </si>
  <si>
    <t>PCL-0535</t>
  </si>
  <si>
    <t>GLICEMIA POSPRANDIAL 2 HORAS</t>
  </si>
  <si>
    <t>PCL-0536</t>
  </si>
  <si>
    <t>GLICEMIA POST CARGA 50GR</t>
  </si>
  <si>
    <t>PCL-0537</t>
  </si>
  <si>
    <t>GLICEMIA POST CARGA 75GR</t>
  </si>
  <si>
    <t>PCL-0543</t>
  </si>
  <si>
    <t>INSULINA 120 MIN</t>
  </si>
  <si>
    <t>PCL-0545</t>
  </si>
  <si>
    <t>INSULINA 30 MIN</t>
  </si>
  <si>
    <t>PCL-0547</t>
  </si>
  <si>
    <t>INSULINA 60 MIN</t>
  </si>
  <si>
    <t>PCL-0549</t>
  </si>
  <si>
    <t>INSULINA 90 MIN</t>
  </si>
  <si>
    <t>PCL-0551</t>
  </si>
  <si>
    <t>INSULINA POST PRANDIAL</t>
  </si>
  <si>
    <t>PCL-0553</t>
  </si>
  <si>
    <t>LACTATO DESHIDROGENASA (LDH)</t>
  </si>
  <si>
    <t>PCL-0557</t>
  </si>
  <si>
    <t>MAGNESIO EN SUERO</t>
  </si>
  <si>
    <t>PCL-0558</t>
  </si>
  <si>
    <t>MICROALBUMINURIA (ORINA DE 24 HORAS)</t>
  </si>
  <si>
    <t>PCL-0559</t>
  </si>
  <si>
    <t>MICROALBUMINURIA (ORINA PARCIAL)</t>
  </si>
  <si>
    <t>PCL-0560</t>
  </si>
  <si>
    <t>NITROGENO UREICO (BUN) EN ORINA</t>
  </si>
  <si>
    <t>PCL-0561</t>
  </si>
  <si>
    <t>NITROGENO UREICO (BUN) EN SANGRE</t>
  </si>
  <si>
    <t>PCL-0562</t>
  </si>
  <si>
    <t>NITROGENO UREICO (BUN) ORINA 24 HORAS</t>
  </si>
  <si>
    <t>PCL-0563</t>
  </si>
  <si>
    <t>PERFIL DIABETES CONTROL</t>
  </si>
  <si>
    <t>PCL-0566</t>
  </si>
  <si>
    <t>PERFIL MARCADORES TUMORALES</t>
  </si>
  <si>
    <t>PCL-0569</t>
  </si>
  <si>
    <t>PROTEINURIA EN ORINA 24 HORAS</t>
  </si>
  <si>
    <t>PCL-0571</t>
  </si>
  <si>
    <t>RELACION ACIDO URICO/ CREATININA EN ORINA</t>
  </si>
  <si>
    <t>PCL-0572</t>
  </si>
  <si>
    <t>RELACION ACIDO URICO/ CREATININA EN ORINA 24 HORAS</t>
  </si>
  <si>
    <t>PCL-0573</t>
  </si>
  <si>
    <t>RELACION CALCIO/CREATININA EN ORINA</t>
  </si>
  <si>
    <t>PCL-0574</t>
  </si>
  <si>
    <t>RELACION CALCIO/CREATININA EN ORINA 24 HORAS</t>
  </si>
  <si>
    <t>PCL-0575</t>
  </si>
  <si>
    <t>RELACION FOSFORO/ CREATININA EN ORINA</t>
  </si>
  <si>
    <t>PCL-0576</t>
  </si>
  <si>
    <t>RELACION LACTATO/PIRUVATO</t>
  </si>
  <si>
    <t>PCL-0577</t>
  </si>
  <si>
    <t>RELACION UREA/CREATININA EN ORINA</t>
  </si>
  <si>
    <t>PCL-0582</t>
  </si>
  <si>
    <t>TRIGLICERIDOS POSPRANDIAL</t>
  </si>
  <si>
    <t>PCL-0585</t>
  </si>
  <si>
    <t>UREA/BUN EN SUERO</t>
  </si>
  <si>
    <t>PCL-0586</t>
  </si>
  <si>
    <t>MARIHUANA CUALITATIVA EN ORINA</t>
  </si>
  <si>
    <t>PCL-0587</t>
  </si>
  <si>
    <t>COCAINA CUALITATIVA EN ORINA</t>
  </si>
  <si>
    <t>PCL-0591</t>
  </si>
  <si>
    <t>PROTEINAS TOTALES</t>
  </si>
  <si>
    <t>PCL-0592</t>
  </si>
  <si>
    <t>PERFIL DIARREA EMERGENTES</t>
  </si>
  <si>
    <t>PCL-0594</t>
  </si>
  <si>
    <t>PANEL DE VIRUS RESPIRATORIOS</t>
  </si>
  <si>
    <t>PCL-0596</t>
  </si>
  <si>
    <t>HIV AG/AB 1/2 4TA GENERACION</t>
  </si>
  <si>
    <t>PCL-0598</t>
  </si>
  <si>
    <t>ZIKA (IGM/IGG)</t>
  </si>
  <si>
    <t>PCL-0599</t>
  </si>
  <si>
    <t>CHIKUNGUNYA (IGM/IGG)</t>
  </si>
  <si>
    <t>PCL-0600</t>
  </si>
  <si>
    <t>CHAGAS (IGG)</t>
  </si>
  <si>
    <t>PCL-0601</t>
  </si>
  <si>
    <t>PANEL DE DROGAS</t>
  </si>
  <si>
    <t>PCL-0602</t>
  </si>
  <si>
    <t>PERFIL TIROIDEO BASICO</t>
  </si>
  <si>
    <t>PCL-0603</t>
  </si>
  <si>
    <t>HEPATITIS B CORE</t>
  </si>
  <si>
    <t>PCL-0604</t>
  </si>
  <si>
    <t>FUNDACION AMIGOS DEL NINO CON CANCER (FANC): PERFIL 1</t>
  </si>
  <si>
    <t>PCL-0605</t>
  </si>
  <si>
    <t>FUNDACION AMIGOS DEL NINO CON CANCER (FANC): PERFIL 2</t>
  </si>
  <si>
    <t>PCL-0606</t>
  </si>
  <si>
    <t>FUNDACION AMIGOS DEL NINO CON CANCER (FANC): PERFIL 3</t>
  </si>
  <si>
    <t>PCL-0607</t>
  </si>
  <si>
    <t>FUNDACION AMIGOS DEL NINO CON CANCER (FANC): PERFIL 4</t>
  </si>
  <si>
    <t>PCL-0608</t>
  </si>
  <si>
    <t>FUNDACION AMIGOS DEL NINO CON CANCER (FANC): PERFIL 5</t>
  </si>
  <si>
    <t>PCL-0609</t>
  </si>
  <si>
    <t>FUNDACION AMIGOS DEL NINO CON CANCER (FANC): PERFIL 6</t>
  </si>
  <si>
    <t>PCL-0610</t>
  </si>
  <si>
    <t>FUNDACION AMIGOS DEL NINO CON CANCER (FANC): PERFIL 7</t>
  </si>
  <si>
    <t>PCL-0612</t>
  </si>
  <si>
    <t>PERFIL ATLETICO MASCULINO</t>
  </si>
  <si>
    <t>PCL-0613</t>
  </si>
  <si>
    <t>PERFIL ATLETICO FEMENINO</t>
  </si>
  <si>
    <t>PCL-0614</t>
  </si>
  <si>
    <t>PERFIL PREOPERATORIO ESPECIAL</t>
  </si>
  <si>
    <t>PCL-0615</t>
  </si>
  <si>
    <t>PERFIL PREOPERATORIO BASICO</t>
  </si>
  <si>
    <t>PCL-0616</t>
  </si>
  <si>
    <t>MAGNESIO IONICO</t>
  </si>
  <si>
    <t>PCL-0618</t>
  </si>
  <si>
    <t>PERFIL PEDIATRICO (URGENCIAS)</t>
  </si>
  <si>
    <t>PCL-0619</t>
  </si>
  <si>
    <t>ANTIGENO NS1 DENGUE</t>
  </si>
  <si>
    <t>PCL-0620</t>
  </si>
  <si>
    <t>PERFIL PREVACACIONAL</t>
  </si>
  <si>
    <t>PCL-0621</t>
  </si>
  <si>
    <t>VIRUS DE LA VIRUELA SIMICA (MPOX)</t>
  </si>
  <si>
    <t>PCL-0623</t>
  </si>
  <si>
    <t>AMILOIDE SERICO A (SAA) EN SUERO</t>
  </si>
  <si>
    <t>PCL-0625</t>
  </si>
  <si>
    <t>HEPATITIS B ANTICUERPOS ANTI-ANTIGENO DE SUPERFICIE</t>
  </si>
  <si>
    <t>PCL-0627</t>
  </si>
  <si>
    <t>AC. ANTIMITOCONDRIALES (AMA)</t>
  </si>
  <si>
    <t>PCL-0629</t>
  </si>
  <si>
    <t>AC. ANTI-MICROSOMALES HIGADO (LKM-1)</t>
  </si>
  <si>
    <t>PCL-0631</t>
  </si>
  <si>
    <t>ELECTROLITOS EN SUDOR</t>
  </si>
  <si>
    <t>PCL-0634</t>
  </si>
  <si>
    <t>PERFIL CIACLAB</t>
  </si>
  <si>
    <t>PCL-0635</t>
  </si>
  <si>
    <t>PERFIL SANITARIO</t>
  </si>
  <si>
    <t>PCL-0637</t>
  </si>
  <si>
    <t>PERFIL DONANTE</t>
  </si>
  <si>
    <t>PCL-0638</t>
  </si>
  <si>
    <t>PANEL BASICO DE ALERGIAS CUANTIFICADO</t>
  </si>
  <si>
    <t>PCL-0639</t>
  </si>
  <si>
    <t>PROTEINA C REACTIVA ULTRA SENSIBLE</t>
  </si>
  <si>
    <t>PCL-0642</t>
  </si>
  <si>
    <t>PERFIL PREEMPLEO MASCULINO (CUIDASALUD)</t>
  </si>
  <si>
    <t>PCL-0643</t>
  </si>
  <si>
    <t>PERFIL PREEMPLEO FEMENINO (CUIDASALUD)</t>
  </si>
  <si>
    <t>PCL-0644</t>
  </si>
  <si>
    <t>PERFIL PREEMPLEO PREVACACIONAL (CUIDASALUD)</t>
  </si>
  <si>
    <t>PCL-0645</t>
  </si>
  <si>
    <t>PERFIL VACACIONAL PEDIATRICO</t>
  </si>
  <si>
    <t>PCL-0649</t>
  </si>
  <si>
    <t>PERFIL ESCOLAR VAAC</t>
  </si>
  <si>
    <t>PCL-0652</t>
  </si>
  <si>
    <t>CORTISOL EN ORINA</t>
  </si>
  <si>
    <t>PCL-0653</t>
  </si>
  <si>
    <t>CORTISOL EN ORINA 24 HORAS</t>
  </si>
  <si>
    <t>PCL-0654</t>
  </si>
  <si>
    <t>PERFIL SWIITCH</t>
  </si>
  <si>
    <t>PCL-0655</t>
  </si>
  <si>
    <t>CURVA DE GLICEMIA 3 PUNTOS</t>
  </si>
  <si>
    <t>PCL-0656</t>
  </si>
  <si>
    <t>CURVA DE GLICEMIA 4 PUNTOS</t>
  </si>
  <si>
    <t>PCL-0657</t>
  </si>
  <si>
    <t>CURVA DE GLICEMIA 5 PUNTOS</t>
  </si>
  <si>
    <t>PCL-0658</t>
  </si>
  <si>
    <t>CURVA DE GLICEMIA 6 PUNTOS</t>
  </si>
  <si>
    <t>PCL-0659</t>
  </si>
  <si>
    <t>CURVA DE INSULINA 3 PUNTOS</t>
  </si>
  <si>
    <t>PCL-0660</t>
  </si>
  <si>
    <t>CURVA DE INSULINA 4 PUNTOS</t>
  </si>
  <si>
    <t>PCL-0661</t>
  </si>
  <si>
    <t>CURVA DE INSULINA 5 PUNTOS</t>
  </si>
  <si>
    <t>PCL-0662</t>
  </si>
  <si>
    <t>CURVA DE INSULINA 6 PUNTOS</t>
  </si>
  <si>
    <t>PCL-0663</t>
  </si>
  <si>
    <t>PERFIL DE TOLERANCIA GLICEMIA E INSULINA 3 PUNTOS</t>
  </si>
  <si>
    <t>PCL-0664</t>
  </si>
  <si>
    <t>PERFIL DE TOLERANCIA GLICEMIA E INSULINA 4 PUNTOS</t>
  </si>
  <si>
    <t>PCL-0665</t>
  </si>
  <si>
    <t>PERFIL DE TOLERANCIA GLICEMIA E INSULINA 5 PUNTOS</t>
  </si>
  <si>
    <t>PCL-0666</t>
  </si>
  <si>
    <t>PERFIL DE TOLERANCIA GLICEMIA E INSULINA 6 PUNTOS</t>
  </si>
  <si>
    <t>PCL-0667</t>
  </si>
  <si>
    <t>GLICEMIA 180 MIN</t>
  </si>
  <si>
    <t>PCL-0668</t>
  </si>
  <si>
    <t>(IGE) ESPECIFICA DE CLARA DE HUEVO</t>
  </si>
  <si>
    <t>PCL-0670</t>
  </si>
  <si>
    <t>(IGE) ESPECIFICA DE YEMA DE HUEVO</t>
  </si>
  <si>
    <t>PCL-0672</t>
  </si>
  <si>
    <t>INSULINA 180 MIN</t>
  </si>
  <si>
    <t>PCL-0674</t>
  </si>
  <si>
    <t>PERFIL ESPECIAL OCUPACIONAL FEMENINO (SIMBIO)</t>
  </si>
  <si>
    <t>PCL-0675</t>
  </si>
  <si>
    <t>PERFIL ESPECIAL OCUPACIONAL MASCULINO (SIMBIO)</t>
  </si>
  <si>
    <t>PCL-0676</t>
  </si>
  <si>
    <t>INDICE DE ANDROGENOS LIBRES (IAF)</t>
  </si>
  <si>
    <t>PCL-0677</t>
  </si>
  <si>
    <t>AC. ANTI-INSULINA</t>
  </si>
  <si>
    <t>PCL-0680</t>
  </si>
  <si>
    <t>PERFIL OCUPACIONAL FEMENINO</t>
  </si>
  <si>
    <t>PCL-0681</t>
  </si>
  <si>
    <t>PERFIL OCUPACIONAL MASCULINO</t>
  </si>
  <si>
    <t>PCL-0682</t>
  </si>
  <si>
    <t>PERFIL BASICO ESPECIAL (SIMBIO)</t>
  </si>
  <si>
    <t>PCL-0684</t>
  </si>
  <si>
    <t>PERFIL GENERAL DE SANGRE (SIMBIO - BMI)</t>
  </si>
  <si>
    <t>PCL-0685</t>
  </si>
  <si>
    <t>PERFIL DE ORINA (SIMBIO - BMI)</t>
  </si>
  <si>
    <t>PCL-0687</t>
  </si>
  <si>
    <t>PANEL DE SENSIBILIDAD ALIMENTARIA IGG (54 ALIMENTOS)</t>
  </si>
  <si>
    <t>PCL-0688</t>
  </si>
  <si>
    <t>PANEL DE ALERGIAS ALIMENTOS VENEZOLANOS (CUANTIFICADO)</t>
  </si>
  <si>
    <t>PCL-0689</t>
  </si>
  <si>
    <t>PANEL DE ALERGIAS INHALANTES VENEZOLANOS (CUANTIFICADO)</t>
  </si>
  <si>
    <t>PCL-0690</t>
  </si>
  <si>
    <t>DETECCION DE CRYPTOCOCCUS EN SUERO</t>
  </si>
  <si>
    <t>PCL-0692</t>
  </si>
  <si>
    <t>ZONULINA EN HECES</t>
  </si>
  <si>
    <t>PCL-0693</t>
  </si>
  <si>
    <t>PERFIL GENERAL DE SANGRE (SIMBIO - AF)</t>
  </si>
  <si>
    <t>PCL-0694</t>
  </si>
  <si>
    <t>PERFIL DE ORINA (SIMBIO - AF)</t>
  </si>
  <si>
    <t>PCL-0695</t>
  </si>
  <si>
    <t>PERFIL ESPECIAL OCUPACIONAL FEMENINO (SIMBIO - LS)</t>
  </si>
  <si>
    <t>PCL-0696</t>
  </si>
  <si>
    <t>PERFIL ESPECIAL OCUPACIONAL MASCULINO (SIMBIO -LS)</t>
  </si>
  <si>
    <t>PCL-0697</t>
  </si>
  <si>
    <t>PERFIL ESPECIAL OCUPACIONAL FEMENINO (SIMBIO - AM)</t>
  </si>
  <si>
    <t>PCL-0698</t>
  </si>
  <si>
    <t>PERFIL ESPECIAL OCUPACIONAL MASCULINO (SIMBIO - AM)</t>
  </si>
  <si>
    <t>PCL-0699</t>
  </si>
  <si>
    <t>PERFIL ESPECIAL OCUPACIONAL FEMENINO (SIMBIO - IA)</t>
  </si>
  <si>
    <t>PCL-0700</t>
  </si>
  <si>
    <t>PERFIL ESPECIAL OCUPACIONAL MASCULINO (SIMBIO - IA)</t>
  </si>
  <si>
    <t>PCL-0701</t>
  </si>
  <si>
    <t>PERFIL ESPECIAL OCUPACIONAL FEMENINO (SIMBIO - XM)</t>
  </si>
  <si>
    <t>PCL-0702</t>
  </si>
  <si>
    <t>PERFIL ESPECIAL OCUPACIONAL MASCULINO (SIMBIO - XM)</t>
  </si>
  <si>
    <t>PCL-0703</t>
  </si>
  <si>
    <t>PERFIL BASICO OCUPACIONAL (SIMBIO - CIV)</t>
  </si>
  <si>
    <t>PCL-0704</t>
  </si>
  <si>
    <t>PERFIL ESPECIAL OCUPACIONAL FEMENINO (SIMBIO - CIV)</t>
  </si>
  <si>
    <t>PCL-0705</t>
  </si>
  <si>
    <t>PERFIL ESPECIAL OCUPACIONAL MASCULINO (SIMBIO - CIV)</t>
  </si>
  <si>
    <t>PCL-0706</t>
  </si>
  <si>
    <t>PERFIL OCUPACIONAL BASICO</t>
  </si>
  <si>
    <t>PCL-0707</t>
  </si>
  <si>
    <t>PERFIL CONTROL OCUPACIONAL</t>
  </si>
  <si>
    <t>PCL-0710</t>
  </si>
  <si>
    <t>ANTIFOSFOLIPIDOS IGG/IGM</t>
  </si>
  <si>
    <t>PCL-0711</t>
  </si>
  <si>
    <t>TOXOPLASMOSIS (IGG/IGM) CUALITATIVO</t>
  </si>
  <si>
    <t>PCL-0712</t>
  </si>
  <si>
    <t>RUBEOLA (IGG/IGM) CUALITATIVO</t>
  </si>
  <si>
    <t>PCL-0713</t>
  </si>
  <si>
    <t>CITOMEGALOVIRUS (IGG/IGM) CUALITATIVO</t>
  </si>
  <si>
    <t>PCL-0714</t>
  </si>
  <si>
    <t>HERPES SIMPLEX I (IGG/IGM) CUALITATIVO</t>
  </si>
  <si>
    <t>PCL-0715</t>
  </si>
  <si>
    <t>HERPES SIMPLEX II (IGG/IGM) CUALITATIVO</t>
  </si>
  <si>
    <t>PCL-0716</t>
  </si>
  <si>
    <t>MYCOPLASMA (IGM/IGG) CUALITATIVO</t>
  </si>
  <si>
    <t>PCL-0717</t>
  </si>
  <si>
    <t>INSULINA POST CARGA 50GR</t>
  </si>
  <si>
    <t>PCL-0718</t>
  </si>
  <si>
    <t>INSULINA POST CARGA 75GR</t>
  </si>
  <si>
    <t>PCL-0719</t>
  </si>
  <si>
    <t>QUANTIFERON (IGRA TBC) INTERFERON-GAMMA</t>
  </si>
  <si>
    <t>PCL-0720</t>
  </si>
  <si>
    <t>PERFIL CONTROL FEMENINO MENOR A 45 ANOS</t>
  </si>
  <si>
    <t>PCL-0721</t>
  </si>
  <si>
    <t>PERFIL CONTROL FEMENINO MAYOR A 45 ANOS</t>
  </si>
  <si>
    <t>PCL-0722</t>
  </si>
  <si>
    <t>PERFIL I CONTROL FEMENINO</t>
  </si>
  <si>
    <t>PCL-0723</t>
  </si>
  <si>
    <t>PERFIL II CONTROL FEMENINO</t>
  </si>
  <si>
    <t>PCL-0724</t>
  </si>
  <si>
    <t>PERFIL TIROIDEO KMC</t>
  </si>
  <si>
    <t>PCL-0725</t>
  </si>
  <si>
    <t>PERFIL DIARREA COMPLETO</t>
  </si>
  <si>
    <t>PCL-0728</t>
  </si>
  <si>
    <t>PANEL DE ALERGIAS BASICO INSECTOS</t>
  </si>
  <si>
    <t>PCL-0730</t>
  </si>
  <si>
    <t>PERFIL CIACLAB RIESGO CARDIOVASCULAR</t>
  </si>
  <si>
    <t>PCL-0731</t>
  </si>
  <si>
    <t>PERFIL RIESGO CARDIOVASCULAR</t>
  </si>
  <si>
    <t>PCL-0732</t>
  </si>
  <si>
    <t>LAMOTRIGINA NIVELES EN SANGRE</t>
  </si>
  <si>
    <t>PCL-0733</t>
  </si>
  <si>
    <t>CLOSTRIDIOIDES DIFFICILE EN HECES</t>
  </si>
  <si>
    <t>PCL-0734</t>
  </si>
  <si>
    <t>AC. ANTI-GAD</t>
  </si>
  <si>
    <t>PCL-0737</t>
  </si>
  <si>
    <t>IGE ESPECIFICA ALFA-LACTOALBUMINA</t>
  </si>
  <si>
    <t>PCL-0739</t>
  </si>
  <si>
    <t>IGE ESPECIFICA BETA-LACTOGLOBULINA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</si>
</sst>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$#,##0.00"/>
    <numFmt numFmtId="165" formatCode="0.0%"/>
    <numFmt numFmtId="166" formatCode="&quot;$&quot;#,##0.00"/>
    <numFmt numFmtId="167" formatCode="_-[$$-540A]* #,##0.00_ ;_-[$$-540A]* -#,##0.00 ;_-[$$-540A]* &quot;-&quot;??_ ;_-@_ "/>
    <numFmt numFmtId="168" formatCode="$#,##0.00;($#,##0.00);&quot;-&quot;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rgb="FFFFFF"/>
      <sz val="10"/>
      <name val="Segoe UI"/>
    </font>
    <font>
      <b/>
      <color rgb="000000"/>
      <sz val="9.5"/>
      <name val="Segoe UI"/>
    </font>
    <font>
      <color rgb="000000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9E1F2"/>
      </patternFill>
    </fill>
    <fill>
      <patternFill patternType="solid">
        <fgColor rgb="F2F5F9"/>
      </patternFill>
    </fill>
  </fills>
  <borders count="3">
    <border>
      <left/>
      <right/>
      <top/>
      <bottom/>
      <diagonal/>
    </border>
    <border>
      <left style="thin">
        <color rgb="10253F"/>
      </left>
      <right style="thin">
        <color rgb="10253F"/>
      </right>
      <top style="thin">
        <color rgb="10253F"/>
      </top>
      <bottom style="medium">
        <color rgb="10253F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1" fontId="3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167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/>
  </sheetViews>
  <sheetFormatPr customHeight="1"/>
  <cols>
    <col min="1" max="1" width="47.90625" customWidth="1"/>
    <col min="2" max="2" width="37.36328125" customWidth="1"/>
    <col min="3" max="3" width="49" customWidth="1"/>
    <col min="4" max="4" width="57.453125" customWidth="1"/>
    <col min="5" max="5" width="56" customWidth="1"/>
  </cols>
  <sheetData>
    <row r="1" ht="21" customHeight="1" spans="1:1" x14ac:dyDescent="0.25">
      <c r="A1" t="s">
        <v>0</v>
      </c>
    </row>
    <row r="2" spans="1:1" x14ac:dyDescent="0.25">
      <c r="A2" t="s">
        <v>1</v>
      </c>
    </row>
    <row r="4" ht="15.5" customHeight="1" spans="1:1" x14ac:dyDescent="0.25">
      <c r="A4" t="s">
        <v>2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A6" t="s">
        <v>7</v>
      </c>
      <c r="B6" s="1">
        <v>842.2067</v>
      </c>
      <c r="C6" t="s">
        <v>8</v>
      </c>
      <c r="D6" t="s">
        <v>9</v>
      </c>
    </row>
    <row r="7" spans="1:4" x14ac:dyDescent="0.25">
      <c r="A7" t="s">
        <v>10</v>
      </c>
      <c r="B7" s="2">
        <v>12500</v>
      </c>
      <c r="C7" t="s">
        <v>11</v>
      </c>
      <c r="D7" t="s">
        <v>12</v>
      </c>
    </row>
    <row r="8" spans="1:4" x14ac:dyDescent="0.25">
      <c r="A8" t="s">
        <v>13</v>
      </c>
      <c r="B8" s="3">
        <v>0.08</v>
      </c>
      <c r="C8" t="s">
        <v>14</v>
      </c>
      <c r="D8" t="s">
        <v>15</v>
      </c>
    </row>
    <row r="9" spans="1:4" x14ac:dyDescent="0.25">
      <c r="A9" t="s">
        <v>16</v>
      </c>
      <c r="B9" s="1">
        <v>56600</v>
      </c>
      <c r="C9" t="s">
        <v>17</v>
      </c>
      <c r="D9" t="s">
        <v>18</v>
      </c>
    </row>
    <row r="10" spans="1:4" x14ac:dyDescent="0.25">
      <c r="A10" t="s">
        <v>19</v>
      </c>
      <c r="B10" s="1">
        <f>B9/B7</f>
        <v>4.528</v>
      </c>
      <c r="C10" t="s">
        <v>20</v>
      </c>
      <c r="D10" t="s">
        <v>21</v>
      </c>
    </row>
    <row r="12" ht="15.5" customHeight="1" spans="1:1" x14ac:dyDescent="0.25">
      <c r="A12" t="s">
        <v>22</v>
      </c>
    </row>
    <row r="13" spans="1:5" x14ac:dyDescent="0.25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35</v>
      </c>
      <c r="D15" t="s">
        <v>36</v>
      </c>
      <c r="E15" t="s">
        <v>37</v>
      </c>
    </row>
    <row r="16" spans="1:5" x14ac:dyDescent="0.25">
      <c r="A16" t="s">
        <v>38</v>
      </c>
      <c r="B16" t="s">
        <v>39</v>
      </c>
      <c r="C16" t="s">
        <v>40</v>
      </c>
      <c r="D16" t="s">
        <v>41</v>
      </c>
      <c r="E16" t="s">
        <v>42</v>
      </c>
    </row>
    <row r="17" spans="1:5" x14ac:dyDescent="0.25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zoomScale="100" zoomScaleNormal="100"/>
  </sheetViews>
  <sheetFormatPr customHeight="1"/>
  <cols>
    <col min="1" max="1" width="8" customWidth="1"/>
    <col min="2" max="2" width="42" customWidth="1"/>
    <col min="3" max="3" width="16" customWidth="1"/>
    <col min="4" max="4" width="45" customWidth="1"/>
    <col min="5" max="5" width="38" customWidth="1"/>
    <col min="6" max="6" width="32" customWidth="1"/>
    <col min="7" max="7" width="18" customWidth="1"/>
    <col min="8" max="8" width="16" customWidth="1"/>
    <col min="9" max="9" width="18" customWidth="1"/>
    <col min="10" max="10" width="20" customWidth="1"/>
    <col min="11" max="11" width="22" customWidth="1"/>
    <col min="12" max="12" width="20" customWidth="1"/>
  </cols>
  <sheetData>
    <row r="1" spans="2:2" x14ac:dyDescent="0.25">
      <c r="B1" t="s">
        <v>0</v>
      </c>
    </row>
    <row r="2" spans="2:7" x14ac:dyDescent="0.25">
      <c r="B2" t="s">
        <v>48</v>
      </c>
      <c r="G2" t="s">
        <v>49</v>
      </c>
    </row>
    <row r="4" ht="28" customHeight="1" spans="1:12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</row>
    <row r="7" ht="22" customHeight="1" spans="1:12" x14ac:dyDescent="0.25">
      <c r="A7" s="5">
        <v>1</v>
      </c>
      <c r="B7" s="6" t="s">
        <v>62</v>
      </c>
      <c r="C7" s="6" t="s">
        <v>63</v>
      </c>
      <c r="D7" s="6" t="s">
        <v>64</v>
      </c>
      <c r="E7" s="6" t="s">
        <v>65</v>
      </c>
      <c r="F7" s="6" t="s">
        <v>66</v>
      </c>
      <c r="G7" s="7">
        <v>720</v>
      </c>
      <c r="H7" s="8">
        <v>0.135</v>
      </c>
      <c r="I7" s="7">
        <v>623</v>
      </c>
      <c r="J7" s="9">
        <v>75</v>
      </c>
      <c r="K7" s="10">
        <v>0.120385</v>
      </c>
      <c r="L7" s="6" t="s">
        <v>67</v>
      </c>
    </row>
    <row r="8" ht="22" customHeight="1" spans="1:12" x14ac:dyDescent="0.25">
      <c r="A8" s="11">
        <v>2</v>
      </c>
      <c r="B8" s="12" t="s">
        <v>62</v>
      </c>
      <c r="C8" s="12" t="s">
        <v>63</v>
      </c>
      <c r="D8" s="12" t="s">
        <v>68</v>
      </c>
      <c r="E8" s="12" t="s">
        <v>69</v>
      </c>
      <c r="F8" s="12" t="s">
        <v>70</v>
      </c>
      <c r="G8" s="13">
        <v>1320</v>
      </c>
      <c r="H8" s="14">
        <v>0.145</v>
      </c>
      <c r="I8" s="13">
        <v>1128</v>
      </c>
      <c r="J8" s="15">
        <v>110</v>
      </c>
      <c r="K8" s="16">
        <v>0.097517</v>
      </c>
      <c r="L8" s="12" t="s">
        <v>67</v>
      </c>
    </row>
    <row r="9" ht="22" customHeight="1" spans="1:12" x14ac:dyDescent="0.25">
      <c r="A9" s="5">
        <v>3</v>
      </c>
      <c r="B9" s="6" t="s">
        <v>62</v>
      </c>
      <c r="C9" s="6" t="s">
        <v>63</v>
      </c>
      <c r="D9" s="6" t="s">
        <v>71</v>
      </c>
      <c r="E9" s="6" t="s">
        <v>72</v>
      </c>
      <c r="F9" s="6" t="s">
        <v>73</v>
      </c>
      <c r="G9" s="7">
        <v>440</v>
      </c>
      <c r="H9" s="8">
        <v>0.146</v>
      </c>
      <c r="I9" s="7">
        <v>375</v>
      </c>
      <c r="J9" s="9">
        <v>45</v>
      </c>
      <c r="K9" s="10">
        <v>0.12</v>
      </c>
      <c r="L9" s="6" t="s">
        <v>67</v>
      </c>
    </row>
    <row r="10" ht="22" customHeight="1" spans="1:12" x14ac:dyDescent="0.25">
      <c r="A10" s="11">
        <v>4</v>
      </c>
      <c r="B10" s="12" t="s">
        <v>74</v>
      </c>
      <c r="C10" s="12" t="s">
        <v>75</v>
      </c>
      <c r="D10" s="12" t="s">
        <v>76</v>
      </c>
      <c r="E10" s="12" t="s">
        <v>77</v>
      </c>
      <c r="F10" s="12" t="s">
        <v>78</v>
      </c>
      <c r="G10" s="13">
        <v>100</v>
      </c>
      <c r="H10" s="14">
        <v>0.05</v>
      </c>
      <c r="I10" s="13">
        <v>95</v>
      </c>
      <c r="J10" s="15">
        <v>320</v>
      </c>
      <c r="K10" s="16">
        <v>3.368421</v>
      </c>
      <c r="L10" s="12" t="s">
        <v>79</v>
      </c>
    </row>
    <row r="11" ht="22" customHeight="1" spans="1:12" x14ac:dyDescent="0.25">
      <c r="A11" s="5">
        <v>5</v>
      </c>
      <c r="B11" s="6" t="s">
        <v>80</v>
      </c>
      <c r="C11" s="6" t="s">
        <v>81</v>
      </c>
      <c r="D11" s="6" t="s">
        <v>82</v>
      </c>
      <c r="E11" s="6" t="s">
        <v>83</v>
      </c>
      <c r="F11" s="6" t="s">
        <v>84</v>
      </c>
      <c r="G11" s="7">
        <v>200</v>
      </c>
      <c r="H11" s="8">
        <v>0.08</v>
      </c>
      <c r="I11" s="7">
        <v>184</v>
      </c>
      <c r="J11" s="9">
        <v>95</v>
      </c>
      <c r="K11" s="10">
        <v>0.516304</v>
      </c>
      <c r="L11" s="6" t="s">
        <v>85</v>
      </c>
    </row>
    <row r="12" ht="22" customHeight="1" spans="1:12" x14ac:dyDescent="0.25">
      <c r="A12" s="11">
        <v>6</v>
      </c>
      <c r="B12" s="12" t="s">
        <v>86</v>
      </c>
      <c r="C12" s="12" t="s">
        <v>87</v>
      </c>
      <c r="D12" s="12" t="s">
        <v>88</v>
      </c>
      <c r="E12" s="12" t="s">
        <v>89</v>
      </c>
      <c r="F12" s="12" t="s">
        <v>90</v>
      </c>
      <c r="G12" s="13">
        <v>100</v>
      </c>
      <c r="H12" s="14">
        <v>0.02</v>
      </c>
      <c r="I12" s="13">
        <v>98</v>
      </c>
      <c r="J12" s="15">
        <v>28</v>
      </c>
      <c r="K12" s="16">
        <v>0.285714</v>
      </c>
      <c r="L12" s="12" t="s">
        <v>85</v>
      </c>
    </row>
    <row r="13" ht="22" customHeight="1" spans="1:12" x14ac:dyDescent="0.25">
      <c r="A13" s="5">
        <v>7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95</v>
      </c>
      <c r="G13" s="7">
        <v>96</v>
      </c>
      <c r="H13" s="8">
        <v>0.12</v>
      </c>
      <c r="I13" s="7">
        <v>84.48</v>
      </c>
      <c r="J13" s="9">
        <v>180</v>
      </c>
      <c r="K13" s="10">
        <v>2.130682</v>
      </c>
      <c r="L13" s="6" t="s">
        <v>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 zoomScale="100" zoomScaleNormal="100"/>
  </sheetViews>
  <sheetFormatPr customHeight="1"/>
  <cols>
    <col min="1" max="1" width="8.81640625" customWidth="1"/>
    <col min="2" max="2" width="14.453125" hidden="1" customWidth="1"/>
    <col min="3" max="3" width="13.81640625" customWidth="1"/>
    <col min="4" max="4" width="19.08984375" customWidth="1"/>
    <col min="5" max="5" width="43.453125" customWidth="1"/>
    <col min="6" max="6" width="11.08984375" customWidth="1"/>
    <col min="7" max="16" width="10.81640625" customWidth="1"/>
  </cols>
  <sheetData>
    <row r="1" ht="21" customHeight="1" spans="1:1" x14ac:dyDescent="0.25">
      <c r="A1" t="s">
        <v>0</v>
      </c>
    </row>
    <row r="2" spans="1:10" x14ac:dyDescent="0.25">
      <c r="A2" t="s">
        <v>97</v>
      </c>
      <c r="J2" t="s">
        <v>98</v>
      </c>
    </row>
    <row r="3" spans="10:10" x14ac:dyDescent="0.25">
      <c r="J3" t="s">
        <v>99</v>
      </c>
    </row>
    <row r="5" spans="1:16" x14ac:dyDescent="0.25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</row>
    <row r="6" spans="1:16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6" x14ac:dyDescent="0.25">
      <c r="A7">
        <v>1</v>
      </c>
      <c r="E7" t="s">
        <v>116</v>
      </c>
      <c r="F7" t="s">
        <v>28</v>
      </c>
    </row>
    <row r="8" spans="5:6" x14ac:dyDescent="0.25">
      <c r="E8" t="s">
        <v>117</v>
      </c>
      <c r="F8" t="s">
        <v>28</v>
      </c>
    </row>
    <row r="9" spans="5:6" x14ac:dyDescent="0.25">
      <c r="E9" t="s">
        <v>118</v>
      </c>
      <c r="F9" t="s">
        <v>28</v>
      </c>
    </row>
    <row r="10" spans="5:6" x14ac:dyDescent="0.25">
      <c r="E10" t="s">
        <v>119</v>
      </c>
      <c r="F10" t="s">
        <v>28</v>
      </c>
    </row>
    <row r="11" spans="5:6" x14ac:dyDescent="0.25">
      <c r="E11" t="s">
        <v>120</v>
      </c>
      <c r="F11" t="s">
        <v>28</v>
      </c>
    </row>
    <row r="12" spans="5:6" x14ac:dyDescent="0.25">
      <c r="E12" t="s">
        <v>121</v>
      </c>
      <c r="F12" t="s">
        <v>28</v>
      </c>
    </row>
    <row r="13" spans="5:6" x14ac:dyDescent="0.25">
      <c r="E13" t="s">
        <v>122</v>
      </c>
      <c r="F13" t="s">
        <v>28</v>
      </c>
    </row>
    <row r="14" spans="5:6" x14ac:dyDescent="0.25">
      <c r="E14" t="s">
        <v>123</v>
      </c>
      <c r="F14" t="s">
        <v>28</v>
      </c>
    </row>
    <row r="15" spans="5:6" x14ac:dyDescent="0.25">
      <c r="E15" t="s">
        <v>124</v>
      </c>
      <c r="F15" t="s">
        <v>28</v>
      </c>
    </row>
  </sheetData>
  <autoFilter ref="A5:P598"/>
  <mergeCells count="16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zoomScale="100" zoomScaleNormal="100"/>
  </sheetViews>
  <sheetFormatPr customHeight="1"/>
  <cols>
    <col min="1" max="1" width="26.6328125" customWidth="1"/>
    <col min="2" max="2" width="50.453125" customWidth="1"/>
    <col min="3" max="3" width="23.1796875" customWidth="1"/>
    <col min="4" max="8" width="12.81640625" customWidth="1"/>
  </cols>
  <sheetData>
    <row r="1" ht="21" customHeight="1" spans="1:1" x14ac:dyDescent="0.25">
      <c r="A1" t="s">
        <v>0</v>
      </c>
    </row>
    <row r="2" spans="1:5" x14ac:dyDescent="0.25">
      <c r="A2" t="s">
        <v>125</v>
      </c>
      <c r="E2" t="s">
        <v>126</v>
      </c>
    </row>
    <row r="4" ht="14.4" customHeight="1" spans="1:8" x14ac:dyDescent="0.25">
      <c r="A4" t="s">
        <v>127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</row>
    <row r="5" spans="1:8" x14ac:dyDescent="0.25">
      <c r="A5"/>
      <c r="B5"/>
      <c r="C5"/>
      <c r="D5"/>
      <c r="E5"/>
      <c r="F5"/>
      <c r="G5"/>
      <c r="H5"/>
    </row>
    <row r="6" spans="1:8" x14ac:dyDescent="0.25">
      <c r="A6"/>
      <c r="B6"/>
      <c r="C6"/>
      <c r="D6"/>
      <c r="E6"/>
      <c r="F6"/>
      <c r="G6"/>
      <c r="H6"/>
    </row>
    <row r="7" spans="1:8" x14ac:dyDescent="0.25">
      <c r="A7" t="s">
        <v>135</v>
      </c>
      <c r="B7" t="s">
        <v>136</v>
      </c>
      <c r="C7" t="s">
        <v>137</v>
      </c>
      <c r="D7" s="2">
        <v>100</v>
      </c>
      <c r="E7" s="1">
        <v>10</v>
      </c>
      <c r="F7" s="1">
        <f>E7/D7</f>
        <v>0.1</v>
      </c>
      <c r="G7" s="2">
        <v>1</v>
      </c>
      <c r="H7" s="1">
        <f>F7*G7</f>
        <v>0.1</v>
      </c>
    </row>
    <row r="8" spans="1:8" x14ac:dyDescent="0.25">
      <c r="A8" t="s">
        <v>135</v>
      </c>
      <c r="B8" t="s">
        <v>138</v>
      </c>
      <c r="C8" t="s">
        <v>137</v>
      </c>
      <c r="D8" s="2">
        <v>100</v>
      </c>
      <c r="E8" s="1">
        <v>5.65</v>
      </c>
      <c r="F8" s="1">
        <f>E8/D8</f>
        <v>0.0565</v>
      </c>
      <c r="G8" s="2">
        <v>1</v>
      </c>
      <c r="H8" s="1">
        <f>F8*G8</f>
        <v>0.0565</v>
      </c>
    </row>
    <row r="9" spans="1:8" x14ac:dyDescent="0.25">
      <c r="A9" t="s">
        <v>135</v>
      </c>
      <c r="B9" t="s">
        <v>139</v>
      </c>
      <c r="C9" t="s">
        <v>140</v>
      </c>
      <c r="D9" s="2">
        <v>100</v>
      </c>
      <c r="E9" s="1">
        <v>97.76</v>
      </c>
      <c r="F9" s="1">
        <f>E9/D9</f>
        <v>0.9776</v>
      </c>
      <c r="G9" s="2">
        <v>2</v>
      </c>
      <c r="H9" s="1">
        <f>F9*G9</f>
        <v>1.9552</v>
      </c>
    </row>
    <row r="10" spans="1:8" x14ac:dyDescent="0.25">
      <c r="A10" t="s">
        <v>141</v>
      </c>
      <c r="B10" t="s">
        <v>142</v>
      </c>
      <c r="C10" t="s">
        <v>137</v>
      </c>
      <c r="D10" s="2">
        <v>100</v>
      </c>
      <c r="E10" s="1">
        <v>15</v>
      </c>
      <c r="F10" s="1">
        <f>E10/D10</f>
        <v>0.15</v>
      </c>
      <c r="G10" s="2">
        <v>2</v>
      </c>
      <c r="H10" s="1">
        <f>F10*G10</f>
        <v>0.3</v>
      </c>
    </row>
    <row r="11" spans="1:8" x14ac:dyDescent="0.25">
      <c r="A11" t="s">
        <v>143</v>
      </c>
      <c r="B11" t="s">
        <v>144</v>
      </c>
      <c r="C11" t="s">
        <v>145</v>
      </c>
      <c r="D11" s="2">
        <v>500</v>
      </c>
      <c r="E11" s="1">
        <v>137.07</v>
      </c>
      <c r="F11" s="1">
        <f>E11/D11</f>
        <v>0.27414</v>
      </c>
      <c r="G11" s="2">
        <v>5</v>
      </c>
      <c r="H11" s="1">
        <f>F11*G11</f>
        <v>1.3707</v>
      </c>
    </row>
    <row r="12" spans="1:8" x14ac:dyDescent="0.25">
      <c r="A12" t="s">
        <v>146</v>
      </c>
      <c r="B12" t="s">
        <v>147</v>
      </c>
      <c r="C12" t="s">
        <v>148</v>
      </c>
      <c r="D12" s="2">
        <v>100</v>
      </c>
      <c r="E12" s="1">
        <v>49.63</v>
      </c>
      <c r="F12" s="1">
        <f>E12/D12</f>
        <v>0.4963</v>
      </c>
      <c r="G12" s="2">
        <v>1</v>
      </c>
      <c r="H12" s="1">
        <f>F12*G12</f>
        <v>0.4963</v>
      </c>
    </row>
    <row r="13" spans="1:8" x14ac:dyDescent="0.25">
      <c r="A13" t="s">
        <v>149</v>
      </c>
      <c r="B13" t="s">
        <v>150</v>
      </c>
      <c r="C13" t="s">
        <v>151</v>
      </c>
      <c r="D13" s="2">
        <v>1000</v>
      </c>
      <c r="E13" s="1">
        <v>150</v>
      </c>
      <c r="F13" s="1">
        <f>E13/D13</f>
        <v>0.15</v>
      </c>
      <c r="G13" s="2">
        <v>1</v>
      </c>
      <c r="H13" s="1">
        <f>F13*G13</f>
        <v>0.15</v>
      </c>
    </row>
    <row r="14" spans="1:6" x14ac:dyDescent="0.25">
      <c r="A14" t="s">
        <v>149</v>
      </c>
      <c r="B14" t="s">
        <v>152</v>
      </c>
      <c r="C14" t="s">
        <v>153</v>
      </c>
      <c r="D14" s="2">
        <v>500</v>
      </c>
      <c r="F14" s="1">
        <f>E14/D14</f>
        <v>0</v>
      </c>
    </row>
    <row r="15" spans="1:6" x14ac:dyDescent="0.25">
      <c r="A15" t="s">
        <v>149</v>
      </c>
      <c r="B15" t="s">
        <v>154</v>
      </c>
      <c r="C15" t="s">
        <v>137</v>
      </c>
      <c r="D15" s="2">
        <v>100</v>
      </c>
      <c r="E15" s="1">
        <v>3</v>
      </c>
      <c r="F15" s="1">
        <f>E15/D15</f>
        <v>0.03</v>
      </c>
    </row>
    <row r="16" spans="1:6" x14ac:dyDescent="0.25">
      <c r="A16" t="s">
        <v>149</v>
      </c>
      <c r="B16" t="s">
        <v>155</v>
      </c>
      <c r="C16" t="s">
        <v>156</v>
      </c>
      <c r="D16" s="2">
        <v>1000</v>
      </c>
      <c r="F16" s="1">
        <f>E16/D16</f>
        <v>0</v>
      </c>
    </row>
    <row r="17" spans="1:6" x14ac:dyDescent="0.25">
      <c r="A17" t="s">
        <v>149</v>
      </c>
      <c r="B17" t="s">
        <v>157</v>
      </c>
      <c r="C17" t="s">
        <v>156</v>
      </c>
      <c r="D17" s="2">
        <v>1000</v>
      </c>
      <c r="F17" s="1">
        <f>E17/D17</f>
        <v>0</v>
      </c>
    </row>
  </sheetData>
  <mergeCells count="8">
    <mergeCell ref="A4:A6"/>
    <mergeCell ref="B4:B6"/>
    <mergeCell ref="C4:C6"/>
    <mergeCell ref="D4:D6"/>
    <mergeCell ref="E4:E6"/>
    <mergeCell ref="F4:F6"/>
    <mergeCell ref="G4:G6"/>
    <mergeCell ref="H4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/>
  </sheetViews>
  <sheetFormatPr customHeight="1"/>
  <cols>
    <col min="1" max="1" width="15" customWidth="1"/>
    <col min="2" max="2" width="37.08984375" customWidth="1"/>
    <col min="3" max="3" width="25.54296875" customWidth="1"/>
    <col min="4" max="4" width="18.6328125" customWidth="1"/>
    <col min="5" max="5" width="22" customWidth="1"/>
    <col min="6" max="7" width="26" customWidth="1"/>
    <col min="8" max="8" width="51" customWidth="1"/>
  </cols>
  <sheetData>
    <row r="1" ht="21" customHeight="1" spans="1:1" x14ac:dyDescent="0.25">
      <c r="A1" t="s">
        <v>0</v>
      </c>
    </row>
    <row r="2" spans="1:1" x14ac:dyDescent="0.25">
      <c r="A2" t="s">
        <v>158</v>
      </c>
    </row>
    <row r="4" spans="1:8" x14ac:dyDescent="0.25">
      <c r="A4" t="s">
        <v>159</v>
      </c>
      <c r="B4" t="s">
        <v>160</v>
      </c>
      <c r="C4" t="s">
        <v>161</v>
      </c>
      <c r="D4" t="s">
        <v>105</v>
      </c>
      <c r="E4" s="17" t="s">
        <v>162</v>
      </c>
      <c r="F4" t="s">
        <v>163</v>
      </c>
      <c r="G4" t="s">
        <v>164</v>
      </c>
      <c r="H4" t="s">
        <v>165</v>
      </c>
    </row>
    <row r="5" spans="2:8" x14ac:dyDescent="0.25">
      <c r="B5" t="s">
        <v>166</v>
      </c>
      <c r="C5" t="s">
        <v>167</v>
      </c>
      <c r="D5" t="s">
        <v>28</v>
      </c>
      <c r="E5" s="17">
        <v>24736.71</v>
      </c>
      <c r="F5" s="1">
        <v>0</v>
      </c>
      <c r="G5" s="1">
        <f>E5+F5</f>
        <v>24736.71</v>
      </c>
      <c r="H5" t="s">
        <v>168</v>
      </c>
    </row>
    <row r="6" spans="2:8" x14ac:dyDescent="0.25">
      <c r="B6" t="s">
        <v>169</v>
      </c>
      <c r="C6" t="s">
        <v>170</v>
      </c>
      <c r="D6" t="s">
        <v>38</v>
      </c>
      <c r="E6" s="17">
        <v>3200</v>
      </c>
      <c r="F6" s="1">
        <v>0</v>
      </c>
      <c r="G6" s="1">
        <f>E6+F6</f>
        <v>3200</v>
      </c>
      <c r="H6" t="s">
        <v>171</v>
      </c>
    </row>
    <row r="7" spans="2:5" x14ac:dyDescent="0.25">
      <c r="B7" t="s">
        <v>172</v>
      </c>
      <c r="C7" t="s">
        <v>173</v>
      </c>
      <c r="D7" t="s">
        <v>28</v>
      </c>
      <c r="E7" s="17">
        <v>1281.39</v>
      </c>
    </row>
    <row r="8" spans="2:5" x14ac:dyDescent="0.25">
      <c r="B8" t="s">
        <v>174</v>
      </c>
      <c r="C8" t="s">
        <v>175</v>
      </c>
      <c r="D8" t="s">
        <v>33</v>
      </c>
      <c r="E8" s="17">
        <v>6081.47</v>
      </c>
    </row>
    <row r="9" spans="2:5" x14ac:dyDescent="0.25">
      <c r="B9" t="s">
        <v>176</v>
      </c>
      <c r="C9" t="s">
        <v>177</v>
      </c>
      <c r="D9" t="s">
        <v>28</v>
      </c>
      <c r="E9" s="17">
        <v>26934.85</v>
      </c>
    </row>
    <row r="10" spans="2:5" x14ac:dyDescent="0.25">
      <c r="B10" t="s">
        <v>178</v>
      </c>
      <c r="E10" s="17">
        <f>SUM(E5:E9)</f>
        <v>62234.42</v>
      </c>
    </row>
    <row r="11" spans="2:8" x14ac:dyDescent="0.25">
      <c r="B11" t="s">
        <v>179</v>
      </c>
      <c r="C11" t="s">
        <v>180</v>
      </c>
      <c r="D11" t="s">
        <v>43</v>
      </c>
      <c r="E11" s="17">
        <v>6313</v>
      </c>
      <c r="F11" s="1">
        <v>0</v>
      </c>
      <c r="G11" s="1">
        <f>E11+F11</f>
        <v>6313</v>
      </c>
      <c r="H11" t="s">
        <v>181</v>
      </c>
    </row>
    <row r="12" spans="2:8" x14ac:dyDescent="0.25">
      <c r="B12" t="s">
        <v>182</v>
      </c>
      <c r="C12" t="s">
        <v>183</v>
      </c>
      <c r="D12" t="s">
        <v>43</v>
      </c>
      <c r="E12" s="17">
        <v>1722.06</v>
      </c>
      <c r="F12" s="1">
        <v>0</v>
      </c>
      <c r="G12" s="1">
        <f>E12+F12</f>
        <v>1722.06</v>
      </c>
      <c r="H12" t="s">
        <v>181</v>
      </c>
    </row>
    <row r="13" spans="2:5" x14ac:dyDescent="0.25">
      <c r="B13" t="s">
        <v>184</v>
      </c>
      <c r="C13" t="s">
        <v>185</v>
      </c>
      <c r="D13" t="s">
        <v>43</v>
      </c>
      <c r="E13" s="17">
        <v>33142.98</v>
      </c>
    </row>
    <row r="14" spans="2:5" x14ac:dyDescent="0.25">
      <c r="B14" t="s">
        <v>186</v>
      </c>
      <c r="C14" t="s">
        <v>187</v>
      </c>
      <c r="D14" t="s">
        <v>43</v>
      </c>
      <c r="E14" s="17">
        <v>5497.79</v>
      </c>
    </row>
    <row r="15" spans="2:5" x14ac:dyDescent="0.25">
      <c r="B15" t="s">
        <v>188</v>
      </c>
      <c r="C15" t="s">
        <v>189</v>
      </c>
      <c r="D15" t="s">
        <v>43</v>
      </c>
      <c r="E15" s="17">
        <v>1192.85</v>
      </c>
    </row>
    <row r="16" spans="2:5" x14ac:dyDescent="0.25">
      <c r="B16" t="s">
        <v>190</v>
      </c>
      <c r="C16" t="s">
        <v>191</v>
      </c>
      <c r="D16" t="s">
        <v>43</v>
      </c>
      <c r="E16" s="17">
        <v>4801.54</v>
      </c>
    </row>
    <row r="17" spans="2:5" x14ac:dyDescent="0.25">
      <c r="B17" t="s">
        <v>192</v>
      </c>
      <c r="E17" s="17">
        <f>SUM(E11:E16)</f>
        <v>52670.22</v>
      </c>
    </row>
    <row r="18" ht="15" customHeight="1" spans="2:5" x14ac:dyDescent="0.25">
      <c r="B18" t="s">
        <v>193</v>
      </c>
      <c r="E18" s="17">
        <f>+E10+E17</f>
        <v>114904.64</v>
      </c>
    </row>
    <row r="19" ht="15" customHeight="1" x14ac:dyDescent="0.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zoomScale="100" zoomScaleNormal="100"/>
  </sheetViews>
  <sheetFormatPr customHeight="1"/>
  <cols>
    <col min="1" max="1" width="10.453125" customWidth="1"/>
    <col min="2" max="2" width="49" customWidth="1"/>
    <col min="3" max="3" width="21" customWidth="1"/>
    <col min="4" max="4" width="25" customWidth="1"/>
    <col min="5" max="5" width="29" customWidth="1"/>
    <col min="6" max="6" width="16" customWidth="1"/>
    <col min="7" max="7" width="22" customWidth="1"/>
    <col min="8" max="8" width="28" customWidth="1"/>
  </cols>
  <sheetData>
    <row r="1" ht="21" customHeight="1" spans="1:1" x14ac:dyDescent="0.25">
      <c r="A1" t="s">
        <v>0</v>
      </c>
    </row>
    <row r="2" spans="1:1" x14ac:dyDescent="0.25">
      <c r="A2" t="s">
        <v>194</v>
      </c>
    </row>
    <row r="4" spans="1:8" x14ac:dyDescent="0.25">
      <c r="A4" t="s">
        <v>159</v>
      </c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 t="s">
        <v>200</v>
      </c>
      <c r="H4" t="s">
        <v>201</v>
      </c>
    </row>
    <row r="5" spans="1:8" x14ac:dyDescent="0.25">
      <c r="A5" t="s">
        <v>202</v>
      </c>
      <c r="B5" t="s">
        <v>203</v>
      </c>
      <c r="C5" t="s">
        <v>204</v>
      </c>
      <c r="D5" s="18">
        <v>70985.79</v>
      </c>
      <c r="E5" s="18">
        <v>75000</v>
      </c>
      <c r="F5" s="18">
        <f>D5-E5</f>
        <v>-4014.2100000000064</v>
      </c>
      <c r="G5" s="3">
        <f>(D5-E5)/E5</f>
        <v>-0.053522800000000086</v>
      </c>
      <c r="H5" s="3">
        <v>0.626</v>
      </c>
    </row>
    <row r="6" spans="1:8" x14ac:dyDescent="0.25">
      <c r="A6" t="s">
        <v>205</v>
      </c>
      <c r="B6" t="s">
        <v>206</v>
      </c>
      <c r="C6" t="s">
        <v>207</v>
      </c>
      <c r="D6" s="18">
        <v>11279</v>
      </c>
      <c r="E6" s="18">
        <v>30000</v>
      </c>
      <c r="F6" s="18">
        <f>D6-E6</f>
        <v>-18721</v>
      </c>
      <c r="G6" s="3">
        <f>(D6-E6)/E6</f>
        <v>-0.6240333333333333</v>
      </c>
      <c r="H6" s="3">
        <v>0.25</v>
      </c>
    </row>
    <row r="7" spans="1:8" x14ac:dyDescent="0.25">
      <c r="A7" t="s">
        <v>205</v>
      </c>
      <c r="B7" t="s">
        <v>208</v>
      </c>
      <c r="C7" t="s">
        <v>207</v>
      </c>
      <c r="D7" s="18">
        <v>8792</v>
      </c>
      <c r="E7" s="18">
        <v>30000</v>
      </c>
      <c r="F7" s="18">
        <f>D7-E7</f>
        <v>-21208</v>
      </c>
      <c r="G7" s="3">
        <f>(D7-E7)/E7</f>
        <v>-0.7069333333333333</v>
      </c>
      <c r="H7" s="3">
        <v>0.25</v>
      </c>
    </row>
    <row r="8" spans="1:8" x14ac:dyDescent="0.25">
      <c r="A8" t="s">
        <v>209</v>
      </c>
      <c r="B8" t="s">
        <v>210</v>
      </c>
      <c r="C8" t="s">
        <v>211</v>
      </c>
      <c r="D8" s="18">
        <v>64427</v>
      </c>
      <c r="E8" s="18">
        <v>75000</v>
      </c>
      <c r="F8" s="18">
        <f>D8-E8</f>
        <v>-10573</v>
      </c>
      <c r="G8" s="3">
        <f>(D8-E8)/E8</f>
        <v>-0.14097333333333334</v>
      </c>
      <c r="H8" s="3">
        <v>0.124</v>
      </c>
    </row>
    <row r="9" spans="1:8" x14ac:dyDescent="0.25">
      <c r="A9" t="s">
        <v>212</v>
      </c>
      <c r="B9" t="s">
        <v>213</v>
      </c>
      <c r="C9" t="s">
        <v>214</v>
      </c>
      <c r="D9" s="18">
        <f>SUM(D5:D8)</f>
        <v>155483.78999999998</v>
      </c>
      <c r="E9" s="18">
        <f>SUM(E5:E8)</f>
        <v>210000</v>
      </c>
      <c r="F9" s="18">
        <f>D9-E9</f>
        <v>-54516.21000000002</v>
      </c>
      <c r="G9" s="3">
        <f>(D9-E9)/E9</f>
        <v>-0.2596010000000001</v>
      </c>
      <c r="H9" s="3">
        <v>1</v>
      </c>
    </row>
    <row r="10" spans="1:8" x14ac:dyDescent="0.25">
      <c r="A10" t="s">
        <v>215</v>
      </c>
      <c r="B10" t="s">
        <v>216</v>
      </c>
      <c r="C10" t="s">
        <v>217</v>
      </c>
      <c r="D10" s="18">
        <f>-38693.74-63.81</f>
        <v>-38757.549999999996</v>
      </c>
      <c r="E10" s="18">
        <f>-15067.06-3013.41</f>
        <v>-18080.47</v>
      </c>
      <c r="F10" s="18">
        <f>D10-E10</f>
        <v>-20677.079999999994</v>
      </c>
      <c r="G10" s="3">
        <f>(D10-E10)/ABS(E10)</f>
        <v>-1.1436140764039868</v>
      </c>
      <c r="H10" s="3">
        <v>-0.1</v>
      </c>
    </row>
    <row r="11" spans="1:8" x14ac:dyDescent="0.25">
      <c r="A11" t="s">
        <v>218</v>
      </c>
      <c r="B11" t="s">
        <v>219</v>
      </c>
      <c r="C11" t="s">
        <v>217</v>
      </c>
      <c r="D11" s="18">
        <v>-3737.72</v>
      </c>
      <c r="E11" s="18">
        <v>-4520.12</v>
      </c>
      <c r="F11" s="18">
        <f>D11-E11</f>
        <v>782.4000000000001</v>
      </c>
      <c r="G11" s="3">
        <f>(D11-E11)/ABS(E11)</f>
        <v>0.17309274975000666</v>
      </c>
      <c r="H11" s="3">
        <v>-0.03</v>
      </c>
    </row>
    <row r="12" spans="1:8" x14ac:dyDescent="0.25">
      <c r="A12" t="s">
        <v>220</v>
      </c>
      <c r="B12" t="s">
        <v>221</v>
      </c>
      <c r="C12" t="s">
        <v>217</v>
      </c>
      <c r="D12" s="18">
        <v>-1281.39</v>
      </c>
      <c r="E12" s="18">
        <v>-4520.12</v>
      </c>
      <c r="F12" s="18">
        <f>D12-E12</f>
        <v>3238.7299999999996</v>
      </c>
      <c r="G12" s="3">
        <f>(D12-E12)/ABS(E12)</f>
        <v>0.7165141633407962</v>
      </c>
      <c r="H12" s="3">
        <v>-0.03</v>
      </c>
    </row>
    <row r="13" spans="1:8" x14ac:dyDescent="0.25">
      <c r="A13" t="s">
        <v>222</v>
      </c>
      <c r="B13" t="s">
        <v>223</v>
      </c>
      <c r="C13" t="s">
        <v>224</v>
      </c>
      <c r="D13" s="18">
        <v>-6081.47</v>
      </c>
      <c r="E13" s="18">
        <v>-15067.06</v>
      </c>
      <c r="F13" s="18">
        <f>D13-E13</f>
        <v>8985.59</v>
      </c>
      <c r="G13" s="3">
        <f>(D13-E13)/ABS(E13)</f>
        <v>0.5963731477806553</v>
      </c>
      <c r="H13" s="3">
        <v>-0.1</v>
      </c>
    </row>
    <row r="14" spans="1:8" x14ac:dyDescent="0.25">
      <c r="A14" t="s">
        <v>225</v>
      </c>
      <c r="B14" t="s">
        <v>226</v>
      </c>
      <c r="C14" t="s">
        <v>224</v>
      </c>
      <c r="D14" s="18">
        <v>-26934.85</v>
      </c>
      <c r="E14" s="18">
        <v>-30134.11</v>
      </c>
      <c r="F14" s="18">
        <f>D14-E14</f>
        <v>3199.260000000002</v>
      </c>
      <c r="G14" s="3">
        <f>(D14-E14)/ABS(E14)</f>
        <v>0.10616739634918708</v>
      </c>
      <c r="H14" s="3">
        <v>-0.2</v>
      </c>
    </row>
    <row r="15" spans="1:8" x14ac:dyDescent="0.25">
      <c r="A15" t="s">
        <v>227</v>
      </c>
      <c r="B15" t="s">
        <v>228</v>
      </c>
      <c r="C15" t="s">
        <v>229</v>
      </c>
      <c r="D15" s="18">
        <v>-24736.71</v>
      </c>
      <c r="E15" s="18">
        <v>-15067.06</v>
      </c>
      <c r="F15" s="18">
        <f>D15-E15</f>
        <v>-9669.65</v>
      </c>
      <c r="G15" s="3">
        <f>(D15-E15)/ABS(E15)</f>
        <v>-0.6417741749219821</v>
      </c>
      <c r="H15" s="3">
        <v>-0.1</v>
      </c>
    </row>
    <row r="16" spans="1:8" x14ac:dyDescent="0.25">
      <c r="A16" t="s">
        <v>230</v>
      </c>
      <c r="B16" t="s">
        <v>231</v>
      </c>
      <c r="C16" t="s">
        <v>232</v>
      </c>
      <c r="D16" s="18">
        <v>-1912.5</v>
      </c>
      <c r="E16" s="18">
        <v>-4520.12</v>
      </c>
      <c r="F16" s="18">
        <f>D16-E16</f>
        <v>2607.62</v>
      </c>
      <c r="G16" s="3">
        <f>(D16-E16)/ABS(E16)</f>
        <v>0.5768917639354707</v>
      </c>
      <c r="H16" s="3">
        <v>-0.03</v>
      </c>
    </row>
    <row r="17" spans="1:8" x14ac:dyDescent="0.25">
      <c r="A17" t="s">
        <v>233</v>
      </c>
      <c r="B17" t="s">
        <v>234</v>
      </c>
      <c r="C17" t="s">
        <v>235</v>
      </c>
      <c r="D17" s="18">
        <f>SUM(D10:D16)</f>
        <v>-103442.19</v>
      </c>
      <c r="E17" s="18">
        <f>SUM(E10:E16)</f>
        <v>-91909.06</v>
      </c>
      <c r="F17" s="18">
        <f>D17-E17</f>
        <v>-11533.130000000005</v>
      </c>
      <c r="G17" s="3">
        <f>(D17-E17)/ABS(E17)</f>
        <v>-0.12548414704709204</v>
      </c>
      <c r="H17" s="3">
        <v>-0.59</v>
      </c>
    </row>
    <row r="18" spans="1:8" x14ac:dyDescent="0.25">
      <c r="A18" t="s">
        <v>236</v>
      </c>
      <c r="B18" t="s">
        <v>237</v>
      </c>
      <c r="C18" t="s">
        <v>238</v>
      </c>
      <c r="D18" s="18">
        <f>D9+D17</f>
        <v>52041.59999999998</v>
      </c>
      <c r="E18" s="18">
        <f>E9+E17</f>
        <v>118090.94</v>
      </c>
      <c r="F18" s="18">
        <f>D18-E18</f>
        <v>-66049.34000000003</v>
      </c>
      <c r="G18" s="3">
        <f>(D18-E18)/E18</f>
        <v>-0.5593091222747488</v>
      </c>
      <c r="H18" s="3">
        <v>0.41</v>
      </c>
    </row>
    <row r="19" spans="1:8" x14ac:dyDescent="0.25">
      <c r="A19" t="s">
        <v>239</v>
      </c>
      <c r="B19" t="s">
        <v>240</v>
      </c>
      <c r="C19" t="s">
        <v>241</v>
      </c>
      <c r="D19" s="18">
        <v>-6313</v>
      </c>
      <c r="E19" s="18">
        <v>-12053.64</v>
      </c>
      <c r="F19" s="18">
        <f>D19-E19</f>
        <v>5740.639999999999</v>
      </c>
      <c r="G19" s="3">
        <f>(D19-E19)/ABS(E19)</f>
        <v>0.47625779432602927</v>
      </c>
      <c r="H19" s="3">
        <v>-0.08</v>
      </c>
    </row>
    <row r="20" spans="1:8" x14ac:dyDescent="0.25">
      <c r="A20" t="s">
        <v>242</v>
      </c>
      <c r="B20" t="s">
        <v>243</v>
      </c>
      <c r="C20" t="s">
        <v>241</v>
      </c>
      <c r="D20" s="18">
        <v>-1722.06</v>
      </c>
      <c r="E20" s="18">
        <v>-3013.41</v>
      </c>
      <c r="F20" s="18">
        <f>D20-E20</f>
        <v>1291.35</v>
      </c>
      <c r="G20" s="3">
        <f>(D20-E20)/ABS(E20)</f>
        <v>0.42853445100401205</v>
      </c>
      <c r="H20" s="3">
        <v>-0.02</v>
      </c>
    </row>
    <row r="21" spans="1:8" x14ac:dyDescent="0.25">
      <c r="A21" t="s">
        <v>244</v>
      </c>
      <c r="B21" t="s">
        <v>245</v>
      </c>
      <c r="C21" t="s">
        <v>241</v>
      </c>
      <c r="D21" s="18">
        <f>-SUM('4. NOMINA Y GASTOS PERSONAL'!E13:E16)</f>
        <v>-44635.16</v>
      </c>
      <c r="E21" s="18">
        <v>-44635.16</v>
      </c>
      <c r="F21" s="18">
        <f>D21-E21</f>
        <v>0</v>
      </c>
      <c r="G21" s="3">
        <f>(D21-E21)/ABS(E21)</f>
        <v>0</v>
      </c>
      <c r="H21" s="3">
        <v>-0.18</v>
      </c>
    </row>
    <row r="22" spans="1:8" x14ac:dyDescent="0.25">
      <c r="A22" t="s">
        <v>246</v>
      </c>
      <c r="B22" t="s">
        <v>247</v>
      </c>
      <c r="C22" t="s">
        <v>248</v>
      </c>
      <c r="D22" s="18">
        <f>SUM(D19:D21)</f>
        <v>-52670.22</v>
      </c>
      <c r="E22" s="18">
        <f>SUM(E19:E21)</f>
        <v>-59702.21000000001</v>
      </c>
      <c r="F22" s="18">
        <f>D22-E22</f>
        <v>7031.990000000005</v>
      </c>
      <c r="G22" s="3">
        <f>(D22-E22)/ABS(E22)</f>
        <v>0.11778441702576847</v>
      </c>
      <c r="H22" s="3">
        <v>-0.28</v>
      </c>
    </row>
    <row r="23" spans="1:8" x14ac:dyDescent="0.25">
      <c r="A23" t="s">
        <v>249</v>
      </c>
      <c r="B23" t="s">
        <v>250</v>
      </c>
      <c r="C23" t="s">
        <v>251</v>
      </c>
      <c r="D23" s="18">
        <f>D18+D22</f>
        <v>-628.6200000000244</v>
      </c>
      <c r="E23" s="18">
        <f>E18+E22</f>
        <v>58388.729999999996</v>
      </c>
      <c r="F23" s="18">
        <f>D23-E23</f>
        <v>-59017.35000000002</v>
      </c>
      <c r="G23" s="3">
        <f>(D23-E23)/E23</f>
        <v>-1.0107661187355852</v>
      </c>
      <c r="H23" s="3">
        <v>0.13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8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0" x14ac:dyDescent="0.25">
      <c r="A2" t="s">
        <v>97</v>
      </c>
      <c r="J2" t="s">
        <v>98</v>
      </c>
    </row>
    <row r="3" spans="10:10" x14ac:dyDescent="0.25">
      <c r="J3" t="s">
        <v>99</v>
      </c>
    </row>
    <row r="5" spans="1:16" x14ac:dyDescent="0.25">
      <c r="A5" t="s">
        <v>100</v>
      </c>
      <c r="B5" t="s">
        <v>101</v>
      </c>
      <c r="C5" t="s">
        <v>102</v>
      </c>
      <c r="D5" t="s">
        <v>103</v>
      </c>
      <c r="E5" t="s">
        <v>252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</row>
    <row r="7" spans="1:16" x14ac:dyDescent="0.25">
      <c r="A7">
        <v>1</v>
      </c>
      <c r="B7" t="s">
        <v>253</v>
      </c>
      <c r="C7" t="s">
        <v>254</v>
      </c>
      <c r="D7" t="s">
        <v>255</v>
      </c>
      <c r="E7" t="s">
        <v>256</v>
      </c>
      <c r="F7" t="s">
        <v>28</v>
      </c>
      <c r="G7">
        <v>21</v>
      </c>
      <c r="H7">
        <v>4.528</v>
      </c>
      <c r="I7">
        <v>25.528</v>
      </c>
      <c r="J7">
        <v>13</v>
      </c>
      <c r="K7">
        <v>8</v>
      </c>
      <c r="L7">
        <v>16</v>
      </c>
      <c r="M7">
        <v>14.4</v>
      </c>
      <c r="N7">
        <v>-5</v>
      </c>
      <c r="O7">
        <v>-0.3125</v>
      </c>
      <c r="P7">
        <v>-0.5954999999999999</v>
      </c>
    </row>
    <row r="8" spans="1:16" x14ac:dyDescent="0.25">
      <c r="A8">
        <v>2</v>
      </c>
      <c r="B8" t="s">
        <v>257</v>
      </c>
      <c r="C8" t="s">
        <v>254</v>
      </c>
      <c r="D8" t="s">
        <v>255</v>
      </c>
      <c r="E8" t="s">
        <v>258</v>
      </c>
      <c r="F8" t="s">
        <v>28</v>
      </c>
      <c r="G8">
        <v>21</v>
      </c>
      <c r="H8">
        <v>4.528</v>
      </c>
      <c r="I8">
        <v>25.528</v>
      </c>
      <c r="J8">
        <v>13</v>
      </c>
      <c r="K8">
        <v>8</v>
      </c>
      <c r="L8">
        <v>20</v>
      </c>
      <c r="M8">
        <v>18</v>
      </c>
      <c r="N8">
        <v>-1</v>
      </c>
      <c r="O8">
        <v>-0.05</v>
      </c>
      <c r="P8">
        <v>-0.2763999999999999</v>
      </c>
    </row>
    <row r="9" spans="1:16" x14ac:dyDescent="0.25">
      <c r="A9">
        <v>3</v>
      </c>
      <c r="B9" t="s">
        <v>259</v>
      </c>
      <c r="C9" t="s">
        <v>254</v>
      </c>
      <c r="D9" t="s">
        <v>255</v>
      </c>
      <c r="E9" t="s">
        <v>260</v>
      </c>
      <c r="F9" t="s">
        <v>28</v>
      </c>
      <c r="G9">
        <v>21</v>
      </c>
      <c r="H9">
        <v>4.528</v>
      </c>
      <c r="I9">
        <v>25.528</v>
      </c>
      <c r="J9">
        <v>13</v>
      </c>
      <c r="K9">
        <v>8</v>
      </c>
      <c r="L9">
        <v>20</v>
      </c>
      <c r="M9">
        <v>18</v>
      </c>
      <c r="N9">
        <v>-1</v>
      </c>
      <c r="O9">
        <v>-0.05</v>
      </c>
      <c r="P9">
        <v>-0.2763999999999999</v>
      </c>
    </row>
    <row r="10" spans="1:16" x14ac:dyDescent="0.25">
      <c r="A10">
        <v>4</v>
      </c>
      <c r="B10" t="s">
        <v>261</v>
      </c>
      <c r="C10" t="s">
        <v>254</v>
      </c>
      <c r="D10" t="s">
        <v>255</v>
      </c>
      <c r="E10" t="s">
        <v>262</v>
      </c>
      <c r="F10" t="s">
        <v>28</v>
      </c>
      <c r="G10">
        <v>21</v>
      </c>
      <c r="H10">
        <v>4.528</v>
      </c>
      <c r="I10">
        <v>25.528</v>
      </c>
      <c r="J10">
        <v>13</v>
      </c>
      <c r="K10">
        <v>8</v>
      </c>
      <c r="L10">
        <v>20</v>
      </c>
      <c r="M10">
        <v>18</v>
      </c>
      <c r="N10">
        <v>-1</v>
      </c>
      <c r="O10">
        <v>-0.05</v>
      </c>
      <c r="P10">
        <v>-0.2763999999999999</v>
      </c>
    </row>
    <row r="11" spans="1:16" x14ac:dyDescent="0.25">
      <c r="A11">
        <v>5</v>
      </c>
      <c r="B11" t="s">
        <v>263</v>
      </c>
      <c r="C11" t="s">
        <v>264</v>
      </c>
      <c r="D11" t="s">
        <v>255</v>
      </c>
      <c r="E11" t="s">
        <v>265</v>
      </c>
      <c r="F11" t="s">
        <v>28</v>
      </c>
      <c r="G11">
        <v>23</v>
      </c>
      <c r="H11">
        <v>4.528</v>
      </c>
      <c r="I11">
        <v>27.528</v>
      </c>
      <c r="J11">
        <v>57</v>
      </c>
      <c r="K11">
        <v>34</v>
      </c>
      <c r="L11">
        <v>21</v>
      </c>
      <c r="M11">
        <v>18.9</v>
      </c>
      <c r="N11">
        <v>-2</v>
      </c>
      <c r="O11">
        <v>-0.09523809523809523</v>
      </c>
      <c r="P11">
        <v>-0.3108571428571428</v>
      </c>
    </row>
    <row r="12" spans="1:16" x14ac:dyDescent="0.25">
      <c r="A12">
        <v>6</v>
      </c>
      <c r="B12" t="s">
        <v>266</v>
      </c>
      <c r="C12" t="s">
        <v>267</v>
      </c>
      <c r="D12" t="s">
        <v>255</v>
      </c>
      <c r="E12" t="s">
        <v>268</v>
      </c>
      <c r="F12" t="s">
        <v>28</v>
      </c>
      <c r="G12">
        <v>23</v>
      </c>
      <c r="H12">
        <v>4.528</v>
      </c>
      <c r="I12">
        <v>27.528</v>
      </c>
      <c r="J12">
        <v>57</v>
      </c>
      <c r="K12">
        <v>34</v>
      </c>
      <c r="L12">
        <v>21</v>
      </c>
      <c r="M12">
        <v>18.9</v>
      </c>
      <c r="N12">
        <v>-2</v>
      </c>
      <c r="O12">
        <v>-0.09523809523809523</v>
      </c>
      <c r="P12">
        <v>-0.3108571428571428</v>
      </c>
    </row>
    <row r="13" spans="1:16" x14ac:dyDescent="0.25">
      <c r="A13">
        <v>7</v>
      </c>
      <c r="B13" t="s">
        <v>269</v>
      </c>
      <c r="C13" t="s">
        <v>270</v>
      </c>
      <c r="D13" t="s">
        <v>255</v>
      </c>
      <c r="E13" t="s">
        <v>271</v>
      </c>
      <c r="F13" t="s">
        <v>28</v>
      </c>
      <c r="G13">
        <v>60</v>
      </c>
      <c r="H13">
        <v>4.528</v>
      </c>
      <c r="I13">
        <v>64.528</v>
      </c>
      <c r="J13">
        <v>131</v>
      </c>
      <c r="K13">
        <v>78.5</v>
      </c>
      <c r="L13">
        <v>55</v>
      </c>
      <c r="M13">
        <v>49.5</v>
      </c>
      <c r="N13">
        <v>-5</v>
      </c>
      <c r="O13">
        <v>-0.09090909090909091</v>
      </c>
      <c r="P13">
        <v>-0.17323636363636374</v>
      </c>
    </row>
    <row r="14" spans="1:16" x14ac:dyDescent="0.25">
      <c r="A14">
        <v>8</v>
      </c>
      <c r="B14" t="s">
        <v>272</v>
      </c>
      <c r="C14" t="s">
        <v>273</v>
      </c>
      <c r="D14" t="s">
        <v>255</v>
      </c>
      <c r="E14" t="s">
        <v>274</v>
      </c>
      <c r="F14" t="s">
        <v>28</v>
      </c>
      <c r="G14">
        <v>36</v>
      </c>
      <c r="H14">
        <v>4.528</v>
      </c>
      <c r="I14">
        <v>40.528</v>
      </c>
      <c r="J14">
        <v>18</v>
      </c>
      <c r="K14">
        <v>11.5</v>
      </c>
      <c r="L14">
        <v>33</v>
      </c>
      <c r="M14">
        <v>29.7</v>
      </c>
      <c r="N14">
        <v>-3</v>
      </c>
      <c r="O14">
        <v>-0.09090909090909091</v>
      </c>
      <c r="P14">
        <v>-0.22812121212121209</v>
      </c>
    </row>
    <row r="15" spans="1:16" x14ac:dyDescent="0.25">
      <c r="A15">
        <v>9</v>
      </c>
      <c r="B15" t="s">
        <v>275</v>
      </c>
      <c r="C15" t="s">
        <v>276</v>
      </c>
      <c r="D15" t="s">
        <v>255</v>
      </c>
      <c r="E15" t="s">
        <v>277</v>
      </c>
      <c r="F15" t="s">
        <v>28</v>
      </c>
      <c r="G15">
        <v>22</v>
      </c>
      <c r="H15">
        <v>4.528</v>
      </c>
      <c r="I15">
        <v>26.528</v>
      </c>
      <c r="J15">
        <v>54</v>
      </c>
      <c r="K15">
        <v>32.5</v>
      </c>
      <c r="L15">
        <v>20</v>
      </c>
      <c r="M15">
        <v>18</v>
      </c>
      <c r="N15">
        <v>-2</v>
      </c>
      <c r="O15">
        <v>-0.1</v>
      </c>
      <c r="P15">
        <v>-0.3263999999999999</v>
      </c>
    </row>
    <row r="16" spans="1:16" x14ac:dyDescent="0.25">
      <c r="A16">
        <v>10</v>
      </c>
      <c r="B16" t="s">
        <v>278</v>
      </c>
      <c r="C16" t="s">
        <v>279</v>
      </c>
      <c r="D16" t="s">
        <v>255</v>
      </c>
      <c r="E16" t="s">
        <v>280</v>
      </c>
      <c r="F16" t="s">
        <v>28</v>
      </c>
      <c r="G16">
        <v>22</v>
      </c>
      <c r="H16">
        <v>4.528</v>
      </c>
      <c r="I16">
        <v>26.528</v>
      </c>
      <c r="J16">
        <v>54</v>
      </c>
      <c r="K16">
        <v>32.5</v>
      </c>
      <c r="L16">
        <v>20</v>
      </c>
      <c r="M16">
        <v>18</v>
      </c>
      <c r="N16">
        <v>-2</v>
      </c>
      <c r="O16">
        <v>-0.1</v>
      </c>
      <c r="P16">
        <v>-0.3263999999999999</v>
      </c>
    </row>
    <row r="17" spans="1:16" x14ac:dyDescent="0.25">
      <c r="A17">
        <v>11</v>
      </c>
      <c r="B17" t="s">
        <v>281</v>
      </c>
      <c r="C17" t="s">
        <v>282</v>
      </c>
      <c r="D17" t="s">
        <v>255</v>
      </c>
      <c r="E17" t="s">
        <v>283</v>
      </c>
      <c r="F17" t="s">
        <v>28</v>
      </c>
      <c r="G17">
        <v>22</v>
      </c>
      <c r="H17">
        <v>4.528</v>
      </c>
      <c r="I17">
        <v>26.528</v>
      </c>
      <c r="J17">
        <v>47</v>
      </c>
      <c r="K17">
        <v>28</v>
      </c>
      <c r="L17">
        <v>20</v>
      </c>
      <c r="M17">
        <v>18</v>
      </c>
      <c r="N17">
        <v>-2</v>
      </c>
      <c r="O17">
        <v>-0.1</v>
      </c>
      <c r="P17">
        <v>-0.3263999999999999</v>
      </c>
    </row>
    <row r="18" spans="1:16" x14ac:dyDescent="0.25">
      <c r="A18">
        <v>12</v>
      </c>
      <c r="B18" t="s">
        <v>284</v>
      </c>
      <c r="C18" t="s">
        <v>285</v>
      </c>
      <c r="D18" t="s">
        <v>255</v>
      </c>
      <c r="E18" t="s">
        <v>286</v>
      </c>
      <c r="F18" t="s">
        <v>28</v>
      </c>
      <c r="G18">
        <v>22</v>
      </c>
      <c r="H18">
        <v>4.528</v>
      </c>
      <c r="I18">
        <v>26.528</v>
      </c>
      <c r="J18">
        <v>47</v>
      </c>
      <c r="K18">
        <v>28</v>
      </c>
      <c r="L18">
        <v>20</v>
      </c>
      <c r="M18">
        <v>18</v>
      </c>
      <c r="N18">
        <v>-2</v>
      </c>
      <c r="O18">
        <v>-0.1</v>
      </c>
      <c r="P18">
        <v>-0.3263999999999999</v>
      </c>
    </row>
    <row r="19" spans="1:16" x14ac:dyDescent="0.25">
      <c r="A19">
        <v>13</v>
      </c>
      <c r="B19" t="s">
        <v>287</v>
      </c>
      <c r="C19" t="s">
        <v>288</v>
      </c>
      <c r="D19" t="s">
        <v>255</v>
      </c>
      <c r="E19" t="s">
        <v>289</v>
      </c>
      <c r="F19" t="s">
        <v>28</v>
      </c>
      <c r="G19">
        <v>242</v>
      </c>
      <c r="H19">
        <v>4.528</v>
      </c>
      <c r="I19">
        <v>246.528</v>
      </c>
      <c r="J19">
        <v>508</v>
      </c>
      <c r="K19">
        <v>305</v>
      </c>
      <c r="L19">
        <v>230</v>
      </c>
      <c r="M19">
        <v>207</v>
      </c>
      <c r="N19">
        <v>-12</v>
      </c>
      <c r="O19">
        <v>-0.05217391304347826</v>
      </c>
      <c r="P19">
        <v>-0.07186086956521735</v>
      </c>
    </row>
    <row r="20" spans="1:16" x14ac:dyDescent="0.25">
      <c r="A20">
        <v>14</v>
      </c>
      <c r="B20" t="s">
        <v>290</v>
      </c>
      <c r="C20" t="s">
        <v>291</v>
      </c>
      <c r="D20" t="s">
        <v>255</v>
      </c>
      <c r="E20" t="s">
        <v>292</v>
      </c>
      <c r="F20" t="s">
        <v>28</v>
      </c>
      <c r="G20">
        <v>28</v>
      </c>
      <c r="H20">
        <v>4.528</v>
      </c>
      <c r="I20">
        <v>32.528</v>
      </c>
      <c r="J20">
        <v>55</v>
      </c>
      <c r="K20">
        <v>41.5</v>
      </c>
      <c r="L20">
        <v>21</v>
      </c>
      <c r="M20">
        <v>18.9</v>
      </c>
      <c r="N20">
        <v>-7</v>
      </c>
      <c r="O20">
        <v>-0.3333333333333333</v>
      </c>
      <c r="P20">
        <v>-0.5489523809523809</v>
      </c>
    </row>
    <row r="21" spans="1:16" x14ac:dyDescent="0.25">
      <c r="A21">
        <v>15</v>
      </c>
      <c r="B21" t="s">
        <v>293</v>
      </c>
      <c r="C21" t="s">
        <v>294</v>
      </c>
      <c r="D21" t="s">
        <v>255</v>
      </c>
      <c r="E21" t="s">
        <v>295</v>
      </c>
      <c r="F21" t="s">
        <v>28</v>
      </c>
      <c r="G21">
        <v>13</v>
      </c>
      <c r="H21">
        <v>4.528</v>
      </c>
      <c r="I21">
        <v>17.528</v>
      </c>
      <c r="J21">
        <v>33</v>
      </c>
      <c r="K21">
        <v>21.5</v>
      </c>
      <c r="L21">
        <v>12</v>
      </c>
      <c r="M21">
        <v>10.8</v>
      </c>
      <c r="N21">
        <v>-1</v>
      </c>
      <c r="O21">
        <v>-0.08333333333333333</v>
      </c>
      <c r="P21">
        <v>-0.46066666666666656</v>
      </c>
    </row>
    <row r="22" spans="1:16" x14ac:dyDescent="0.25">
      <c r="A22">
        <v>16</v>
      </c>
      <c r="B22" t="s">
        <v>296</v>
      </c>
      <c r="C22" t="s">
        <v>297</v>
      </c>
      <c r="D22" t="s">
        <v>255</v>
      </c>
      <c r="E22" t="s">
        <v>298</v>
      </c>
      <c r="F22" t="s">
        <v>28</v>
      </c>
      <c r="G22">
        <v>4</v>
      </c>
      <c r="H22">
        <v>4.528</v>
      </c>
      <c r="I22">
        <v>8.527999999999999</v>
      </c>
      <c r="J22">
        <v>2</v>
      </c>
      <c r="K22">
        <v>1.5</v>
      </c>
      <c r="L22">
        <v>3.7</v>
      </c>
      <c r="M22">
        <v>3.33</v>
      </c>
      <c r="N22">
        <v>-0.2999999999999998</v>
      </c>
      <c r="O22">
        <v>-0.08108108108108103</v>
      </c>
      <c r="P22">
        <v>-1.3048648648648644</v>
      </c>
    </row>
    <row r="23" spans="1:16" x14ac:dyDescent="0.25">
      <c r="A23">
        <v>17</v>
      </c>
      <c r="B23" t="s">
        <v>299</v>
      </c>
      <c r="C23" t="s">
        <v>297</v>
      </c>
      <c r="D23" t="s">
        <v>255</v>
      </c>
      <c r="E23" t="s">
        <v>300</v>
      </c>
      <c r="F23" t="s">
        <v>28</v>
      </c>
      <c r="G23">
        <v>4</v>
      </c>
      <c r="H23">
        <v>4.528</v>
      </c>
      <c r="I23">
        <v>8.527999999999999</v>
      </c>
      <c r="J23">
        <v>2</v>
      </c>
      <c r="K23">
        <v>1.5</v>
      </c>
      <c r="L23">
        <v>3.7</v>
      </c>
      <c r="M23">
        <v>3.33</v>
      </c>
      <c r="N23">
        <v>-0.2999999999999998</v>
      </c>
      <c r="O23">
        <v>-0.08108108108108103</v>
      </c>
      <c r="P23">
        <v>-1.3048648648648644</v>
      </c>
    </row>
    <row r="24" spans="1:16" x14ac:dyDescent="0.25">
      <c r="A24">
        <v>18</v>
      </c>
      <c r="B24" t="s">
        <v>301</v>
      </c>
      <c r="C24" t="s">
        <v>302</v>
      </c>
      <c r="D24" t="s">
        <v>255</v>
      </c>
      <c r="E24" t="s">
        <v>303</v>
      </c>
      <c r="F24" t="s">
        <v>28</v>
      </c>
      <c r="G24">
        <v>4</v>
      </c>
      <c r="H24">
        <v>4.528</v>
      </c>
      <c r="I24">
        <v>8.527999999999999</v>
      </c>
      <c r="J24">
        <v>2</v>
      </c>
      <c r="K24">
        <v>2</v>
      </c>
      <c r="L24">
        <v>3.7</v>
      </c>
      <c r="M24">
        <v>3.33</v>
      </c>
      <c r="N24">
        <v>-0.2999999999999998</v>
      </c>
      <c r="O24">
        <v>-0.08108108108108103</v>
      </c>
      <c r="P24">
        <v>-1.3048648648648644</v>
      </c>
    </row>
    <row r="25" spans="1:16" x14ac:dyDescent="0.25">
      <c r="A25">
        <v>19</v>
      </c>
      <c r="B25" t="s">
        <v>304</v>
      </c>
      <c r="C25" t="s">
        <v>305</v>
      </c>
      <c r="D25" t="s">
        <v>255</v>
      </c>
      <c r="E25" t="s">
        <v>306</v>
      </c>
      <c r="F25" t="s">
        <v>28</v>
      </c>
      <c r="G25">
        <v>88</v>
      </c>
      <c r="H25">
        <v>4.528</v>
      </c>
      <c r="I25">
        <v>92.528</v>
      </c>
      <c r="J25">
        <v>131</v>
      </c>
      <c r="K25">
        <v>78.5</v>
      </c>
      <c r="L25">
        <v>60</v>
      </c>
      <c r="M25">
        <v>54</v>
      </c>
      <c r="N25">
        <v>-28</v>
      </c>
      <c r="O25">
        <v>-0.4666666666666667</v>
      </c>
      <c r="P25">
        <v>-0.5421333333333335</v>
      </c>
    </row>
    <row r="26" spans="1:16" x14ac:dyDescent="0.25">
      <c r="A26">
        <v>20</v>
      </c>
      <c r="B26" t="s">
        <v>307</v>
      </c>
      <c r="C26" t="s">
        <v>308</v>
      </c>
      <c r="D26" t="s">
        <v>255</v>
      </c>
      <c r="E26" t="s">
        <v>309</v>
      </c>
      <c r="F26" t="s">
        <v>28</v>
      </c>
      <c r="G26">
        <v>14</v>
      </c>
      <c r="H26">
        <v>4.528</v>
      </c>
      <c r="I26">
        <v>18.528</v>
      </c>
      <c r="J26">
        <v>36</v>
      </c>
      <c r="K26">
        <v>21.5</v>
      </c>
      <c r="L26">
        <v>13</v>
      </c>
      <c r="M26">
        <v>11.7</v>
      </c>
      <c r="N26">
        <v>-1</v>
      </c>
      <c r="O26">
        <v>-0.07692307692307693</v>
      </c>
      <c r="P26">
        <v>-0.42523076923076913</v>
      </c>
    </row>
    <row r="27" spans="1:16" x14ac:dyDescent="0.25">
      <c r="A27">
        <v>21</v>
      </c>
      <c r="B27" t="s">
        <v>310</v>
      </c>
      <c r="C27" t="s">
        <v>311</v>
      </c>
      <c r="D27" t="s">
        <v>255</v>
      </c>
      <c r="E27" t="s">
        <v>312</v>
      </c>
      <c r="F27" t="s">
        <v>28</v>
      </c>
      <c r="G27">
        <v>111</v>
      </c>
      <c r="H27">
        <v>4.528</v>
      </c>
      <c r="I27">
        <v>115.528</v>
      </c>
      <c r="J27">
        <v>304</v>
      </c>
      <c r="K27">
        <v>182.5</v>
      </c>
      <c r="L27">
        <v>105</v>
      </c>
      <c r="M27">
        <v>94.5</v>
      </c>
      <c r="N27">
        <v>-6</v>
      </c>
      <c r="O27">
        <v>-0.05714285714285714</v>
      </c>
      <c r="P27">
        <v>-0.10026666666666673</v>
      </c>
    </row>
    <row r="28" spans="1:16" x14ac:dyDescent="0.25">
      <c r="A28">
        <v>22</v>
      </c>
      <c r="B28" t="s">
        <v>313</v>
      </c>
      <c r="C28" t="s">
        <v>314</v>
      </c>
      <c r="D28" t="s">
        <v>255</v>
      </c>
      <c r="E28" t="s">
        <v>315</v>
      </c>
      <c r="F28" t="s">
        <v>28</v>
      </c>
      <c r="G28">
        <v>50</v>
      </c>
      <c r="H28">
        <v>4.528</v>
      </c>
      <c r="I28">
        <v>54.528</v>
      </c>
      <c r="J28">
        <v>110</v>
      </c>
      <c r="K28">
        <v>66</v>
      </c>
      <c r="L28">
        <v>46</v>
      </c>
      <c r="M28">
        <v>41.4</v>
      </c>
      <c r="N28">
        <v>-4</v>
      </c>
      <c r="O28">
        <v>-0.08695652173913043</v>
      </c>
      <c r="P28">
        <v>-0.18539130434782605</v>
      </c>
    </row>
    <row r="29" spans="1:16" x14ac:dyDescent="0.25">
      <c r="A29">
        <v>23</v>
      </c>
      <c r="B29" t="s">
        <v>316</v>
      </c>
      <c r="C29" t="s">
        <v>314</v>
      </c>
      <c r="D29" t="s">
        <v>255</v>
      </c>
      <c r="E29" t="s">
        <v>317</v>
      </c>
      <c r="F29" t="s">
        <v>28</v>
      </c>
      <c r="G29">
        <v>50</v>
      </c>
      <c r="H29">
        <v>4.528</v>
      </c>
      <c r="I29">
        <v>54.528</v>
      </c>
      <c r="J29">
        <v>110</v>
      </c>
      <c r="K29">
        <v>66</v>
      </c>
      <c r="L29">
        <v>27</v>
      </c>
      <c r="M29">
        <v>24.3</v>
      </c>
      <c r="N29">
        <v>-23</v>
      </c>
      <c r="O29">
        <v>-0.8518518518518519</v>
      </c>
      <c r="P29">
        <v>-1.0195555555555555</v>
      </c>
    </row>
    <row r="30" spans="1:16" x14ac:dyDescent="0.25">
      <c r="A30">
        <v>24</v>
      </c>
      <c r="B30" t="s">
        <v>318</v>
      </c>
      <c r="C30" t="s">
        <v>319</v>
      </c>
      <c r="D30" t="s">
        <v>255</v>
      </c>
      <c r="E30" t="s">
        <v>320</v>
      </c>
      <c r="F30" t="s">
        <v>28</v>
      </c>
      <c r="G30">
        <v>6</v>
      </c>
      <c r="H30">
        <v>4.528</v>
      </c>
      <c r="I30">
        <v>10.527999999999999</v>
      </c>
      <c r="J30">
        <v>18</v>
      </c>
      <c r="K30">
        <v>18</v>
      </c>
      <c r="L30">
        <v>6</v>
      </c>
      <c r="M30">
        <v>5.4</v>
      </c>
      <c r="N30">
        <v>0</v>
      </c>
      <c r="O30">
        <v>0</v>
      </c>
      <c r="P30">
        <v>-0.7546666666666665</v>
      </c>
    </row>
    <row r="31" spans="1:16" x14ac:dyDescent="0.25">
      <c r="A31">
        <v>25</v>
      </c>
      <c r="B31" t="s">
        <v>321</v>
      </c>
      <c r="C31" t="s">
        <v>319</v>
      </c>
      <c r="D31" t="s">
        <v>255</v>
      </c>
      <c r="E31" t="s">
        <v>322</v>
      </c>
      <c r="F31" t="s">
        <v>28</v>
      </c>
      <c r="G31">
        <v>7</v>
      </c>
      <c r="H31">
        <v>4.528</v>
      </c>
      <c r="I31">
        <v>11.527999999999999</v>
      </c>
      <c r="J31">
        <v>18</v>
      </c>
      <c r="K31">
        <v>18</v>
      </c>
      <c r="L31">
        <v>7</v>
      </c>
      <c r="M31">
        <v>6.3</v>
      </c>
      <c r="N31">
        <v>0</v>
      </c>
      <c r="O31">
        <v>0</v>
      </c>
      <c r="P31">
        <v>-0.6468571428571427</v>
      </c>
    </row>
    <row r="32" spans="1:16" x14ac:dyDescent="0.25">
      <c r="A32">
        <v>26</v>
      </c>
      <c r="B32" t="s">
        <v>323</v>
      </c>
      <c r="C32" t="s">
        <v>324</v>
      </c>
      <c r="D32" t="s">
        <v>255</v>
      </c>
      <c r="E32" t="s">
        <v>325</v>
      </c>
      <c r="F32" t="s">
        <v>28</v>
      </c>
      <c r="G32">
        <v>11</v>
      </c>
      <c r="H32">
        <v>4.528</v>
      </c>
      <c r="I32">
        <v>15.527999999999999</v>
      </c>
      <c r="J32">
        <v>7</v>
      </c>
      <c r="K32">
        <v>5.5</v>
      </c>
      <c r="L32">
        <v>6</v>
      </c>
      <c r="M32">
        <v>5.4</v>
      </c>
      <c r="N32">
        <v>-5</v>
      </c>
      <c r="O32">
        <v>-0.8333333333333334</v>
      </c>
      <c r="P32">
        <v>-1.5879999999999999</v>
      </c>
    </row>
    <row r="33" spans="1:16" x14ac:dyDescent="0.25">
      <c r="A33">
        <v>27</v>
      </c>
      <c r="B33" t="s">
        <v>326</v>
      </c>
      <c r="C33" t="s">
        <v>324</v>
      </c>
      <c r="D33" t="s">
        <v>255</v>
      </c>
      <c r="E33" t="s">
        <v>327</v>
      </c>
      <c r="F33" t="s">
        <v>28</v>
      </c>
      <c r="G33">
        <v>216</v>
      </c>
      <c r="H33">
        <v>4.528</v>
      </c>
      <c r="I33">
        <v>220.528</v>
      </c>
      <c r="J33">
        <v>7</v>
      </c>
      <c r="K33">
        <v>5.5</v>
      </c>
      <c r="L33">
        <v>200</v>
      </c>
      <c r="M33">
        <v>180</v>
      </c>
      <c r="N33">
        <v>-16</v>
      </c>
      <c r="O33">
        <v>-0.08</v>
      </c>
      <c r="P33">
        <v>-0.10263999999999995</v>
      </c>
    </row>
    <row r="34" spans="1:16" x14ac:dyDescent="0.25">
      <c r="A34">
        <v>28</v>
      </c>
      <c r="B34" t="s">
        <v>328</v>
      </c>
      <c r="C34" t="s">
        <v>324</v>
      </c>
      <c r="D34" t="s">
        <v>255</v>
      </c>
      <c r="E34" t="s">
        <v>329</v>
      </c>
      <c r="F34" t="s">
        <v>28</v>
      </c>
      <c r="G34">
        <v>29</v>
      </c>
      <c r="H34">
        <v>4.528</v>
      </c>
      <c r="I34">
        <v>33.528</v>
      </c>
      <c r="J34">
        <v>7</v>
      </c>
      <c r="K34">
        <v>5.5</v>
      </c>
      <c r="L34">
        <v>27</v>
      </c>
      <c r="M34">
        <v>24.3</v>
      </c>
      <c r="N34">
        <v>-2</v>
      </c>
      <c r="O34">
        <v>-0.07407407407407407</v>
      </c>
      <c r="P34">
        <v>-0.24177777777777773</v>
      </c>
    </row>
    <row r="35" spans="1:16" x14ac:dyDescent="0.25">
      <c r="A35">
        <v>29</v>
      </c>
      <c r="B35" t="s">
        <v>330</v>
      </c>
      <c r="C35" t="s">
        <v>331</v>
      </c>
      <c r="D35" t="s">
        <v>255</v>
      </c>
      <c r="E35" t="s">
        <v>332</v>
      </c>
      <c r="F35" t="s">
        <v>28</v>
      </c>
      <c r="G35">
        <v>18</v>
      </c>
      <c r="H35">
        <v>4.528</v>
      </c>
      <c r="I35">
        <v>22.528</v>
      </c>
      <c r="J35">
        <v>45</v>
      </c>
      <c r="K35">
        <v>27</v>
      </c>
      <c r="L35">
        <v>17</v>
      </c>
      <c r="M35">
        <v>15.3</v>
      </c>
      <c r="N35">
        <v>-1</v>
      </c>
      <c r="O35">
        <v>-0.058823529411764705</v>
      </c>
      <c r="P35">
        <v>-0.32517647058823523</v>
      </c>
    </row>
    <row r="36" spans="1:16" x14ac:dyDescent="0.25">
      <c r="A36">
        <v>30</v>
      </c>
      <c r="B36" t="s">
        <v>333</v>
      </c>
      <c r="C36" t="s">
        <v>334</v>
      </c>
      <c r="D36" t="s">
        <v>255</v>
      </c>
      <c r="E36" t="s">
        <v>335</v>
      </c>
      <c r="F36" t="s">
        <v>28</v>
      </c>
      <c r="G36">
        <v>25</v>
      </c>
      <c r="H36">
        <v>4.528</v>
      </c>
      <c r="I36">
        <v>29.528</v>
      </c>
      <c r="J36">
        <v>54</v>
      </c>
      <c r="K36">
        <v>32.5</v>
      </c>
      <c r="L36">
        <v>19</v>
      </c>
      <c r="M36">
        <v>17.1</v>
      </c>
      <c r="N36">
        <v>-6</v>
      </c>
      <c r="O36">
        <v>-0.3157894736842105</v>
      </c>
      <c r="P36">
        <v>-0.5541052631578947</v>
      </c>
    </row>
    <row r="37" spans="1:16" x14ac:dyDescent="0.25">
      <c r="A37">
        <v>31</v>
      </c>
      <c r="B37" t="s">
        <v>336</v>
      </c>
      <c r="C37" t="s">
        <v>334</v>
      </c>
      <c r="D37" t="s">
        <v>255</v>
      </c>
      <c r="E37" t="s">
        <v>337</v>
      </c>
      <c r="F37" t="s">
        <v>28</v>
      </c>
      <c r="G37">
        <v>25</v>
      </c>
      <c r="H37">
        <v>4.528</v>
      </c>
      <c r="I37">
        <v>29.528</v>
      </c>
      <c r="J37">
        <v>54</v>
      </c>
      <c r="K37">
        <v>32.5</v>
      </c>
      <c r="L37">
        <v>23</v>
      </c>
      <c r="M37">
        <v>20.7</v>
      </c>
      <c r="N37">
        <v>-2</v>
      </c>
      <c r="O37">
        <v>-0.08695652173913043</v>
      </c>
      <c r="P37">
        <v>-0.2838260869565217</v>
      </c>
    </row>
    <row r="38" spans="1:16" x14ac:dyDescent="0.25">
      <c r="A38">
        <v>32</v>
      </c>
      <c r="B38" t="s">
        <v>338</v>
      </c>
      <c r="C38" t="s">
        <v>334</v>
      </c>
      <c r="D38" t="s">
        <v>255</v>
      </c>
      <c r="E38" t="s">
        <v>339</v>
      </c>
      <c r="F38" t="s">
        <v>28</v>
      </c>
      <c r="G38">
        <v>25</v>
      </c>
      <c r="H38">
        <v>4.528</v>
      </c>
      <c r="I38">
        <v>29.528</v>
      </c>
      <c r="J38">
        <v>54</v>
      </c>
      <c r="K38">
        <v>32.5</v>
      </c>
      <c r="L38">
        <v>23</v>
      </c>
      <c r="M38">
        <v>20.7</v>
      </c>
      <c r="N38">
        <v>-2</v>
      </c>
      <c r="O38">
        <v>-0.08695652173913043</v>
      </c>
      <c r="P38">
        <v>-0.2838260869565217</v>
      </c>
    </row>
    <row r="39" spans="1:16" x14ac:dyDescent="0.25">
      <c r="A39">
        <v>33</v>
      </c>
      <c r="B39" t="s">
        <v>340</v>
      </c>
      <c r="C39" t="s">
        <v>341</v>
      </c>
      <c r="D39" t="s">
        <v>255</v>
      </c>
      <c r="E39" t="s">
        <v>342</v>
      </c>
      <c r="F39" t="s">
        <v>28</v>
      </c>
      <c r="G39">
        <v>67</v>
      </c>
      <c r="H39">
        <v>4.528</v>
      </c>
      <c r="I39">
        <v>71.528</v>
      </c>
      <c r="J39">
        <v>162</v>
      </c>
      <c r="K39">
        <v>97</v>
      </c>
      <c r="L39">
        <v>60</v>
      </c>
      <c r="M39">
        <v>54</v>
      </c>
      <c r="N39">
        <v>-7</v>
      </c>
      <c r="O39">
        <v>-0.11666666666666667</v>
      </c>
      <c r="P39">
        <v>-0.19213333333333343</v>
      </c>
    </row>
    <row r="40" spans="1:16" x14ac:dyDescent="0.25">
      <c r="A40">
        <v>34</v>
      </c>
      <c r="B40" t="s">
        <v>343</v>
      </c>
      <c r="C40" t="s">
        <v>344</v>
      </c>
      <c r="D40" t="s">
        <v>255</v>
      </c>
      <c r="E40" t="s">
        <v>345</v>
      </c>
      <c r="F40" t="s">
        <v>28</v>
      </c>
      <c r="G40">
        <v>68</v>
      </c>
      <c r="H40">
        <v>4.528</v>
      </c>
      <c r="I40">
        <v>72.528</v>
      </c>
      <c r="J40">
        <v>77</v>
      </c>
      <c r="K40">
        <v>46</v>
      </c>
      <c r="L40">
        <v>60</v>
      </c>
      <c r="M40">
        <v>54</v>
      </c>
      <c r="N40">
        <v>-8</v>
      </c>
      <c r="O40">
        <v>-0.13333333333333333</v>
      </c>
      <c r="P40">
        <v>-0.2088000000000001</v>
      </c>
    </row>
    <row r="41" spans="1:16" x14ac:dyDescent="0.25">
      <c r="A41">
        <v>35</v>
      </c>
      <c r="B41" t="s">
        <v>346</v>
      </c>
      <c r="C41" t="s">
        <v>347</v>
      </c>
      <c r="D41" t="s">
        <v>255</v>
      </c>
      <c r="E41" t="s">
        <v>348</v>
      </c>
      <c r="F41" t="s">
        <v>28</v>
      </c>
      <c r="G41">
        <v>22</v>
      </c>
      <c r="H41">
        <v>4.528</v>
      </c>
      <c r="I41">
        <v>26.528</v>
      </c>
      <c r="J41">
        <v>55</v>
      </c>
      <c r="K41">
        <v>33</v>
      </c>
      <c r="L41">
        <v>20</v>
      </c>
      <c r="M41">
        <v>18</v>
      </c>
      <c r="N41">
        <v>-2</v>
      </c>
      <c r="O41">
        <v>-0.1</v>
      </c>
      <c r="P41">
        <v>-0.3263999999999999</v>
      </c>
    </row>
    <row r="42" spans="1:16" x14ac:dyDescent="0.25">
      <c r="A42">
        <v>36</v>
      </c>
      <c r="B42" t="s">
        <v>349</v>
      </c>
      <c r="C42" t="s">
        <v>350</v>
      </c>
      <c r="D42" t="s">
        <v>255</v>
      </c>
      <c r="E42" t="s">
        <v>351</v>
      </c>
      <c r="F42" t="s">
        <v>28</v>
      </c>
      <c r="G42">
        <v>22</v>
      </c>
      <c r="H42">
        <v>4.528</v>
      </c>
      <c r="I42">
        <v>26.528</v>
      </c>
      <c r="J42">
        <v>55</v>
      </c>
      <c r="K42">
        <v>33</v>
      </c>
      <c r="L42">
        <v>20</v>
      </c>
      <c r="M42">
        <v>18</v>
      </c>
      <c r="N42">
        <v>-2</v>
      </c>
      <c r="O42">
        <v>-0.1</v>
      </c>
      <c r="P42">
        <v>-0.3263999999999999</v>
      </c>
    </row>
    <row r="43" spans="1:16" x14ac:dyDescent="0.25">
      <c r="A43">
        <v>37</v>
      </c>
      <c r="B43" t="s">
        <v>352</v>
      </c>
      <c r="C43" t="s">
        <v>353</v>
      </c>
      <c r="D43" t="s">
        <v>255</v>
      </c>
      <c r="E43" t="s">
        <v>354</v>
      </c>
      <c r="F43" t="s">
        <v>28</v>
      </c>
      <c r="G43">
        <v>80</v>
      </c>
      <c r="H43">
        <v>4.528</v>
      </c>
      <c r="I43">
        <v>84.528</v>
      </c>
      <c r="J43">
        <v>24</v>
      </c>
      <c r="K43">
        <v>19</v>
      </c>
      <c r="L43">
        <v>75</v>
      </c>
      <c r="M43">
        <v>67.5</v>
      </c>
      <c r="N43">
        <v>-5</v>
      </c>
      <c r="O43">
        <v>-0.06666666666666667</v>
      </c>
      <c r="P43">
        <v>-0.12704000000000007</v>
      </c>
    </row>
    <row r="44" spans="1:16" x14ac:dyDescent="0.25">
      <c r="A44">
        <v>38</v>
      </c>
      <c r="B44" t="s">
        <v>355</v>
      </c>
      <c r="C44" t="s">
        <v>356</v>
      </c>
      <c r="D44" t="s">
        <v>255</v>
      </c>
      <c r="E44" t="s">
        <v>357</v>
      </c>
      <c r="F44" t="s">
        <v>28</v>
      </c>
      <c r="G44">
        <v>22</v>
      </c>
      <c r="H44">
        <v>4.528</v>
      </c>
      <c r="I44">
        <v>26.528</v>
      </c>
      <c r="J44">
        <v>54</v>
      </c>
      <c r="K44">
        <v>32.5</v>
      </c>
      <c r="L44">
        <v>20</v>
      </c>
      <c r="M44">
        <v>18</v>
      </c>
      <c r="N44">
        <v>-2</v>
      </c>
      <c r="O44">
        <v>-0.1</v>
      </c>
      <c r="P44">
        <v>-0.3263999999999999</v>
      </c>
    </row>
    <row r="45" spans="1:16" x14ac:dyDescent="0.25">
      <c r="A45">
        <v>39</v>
      </c>
      <c r="B45" t="s">
        <v>358</v>
      </c>
      <c r="C45" t="s">
        <v>359</v>
      </c>
      <c r="D45" t="s">
        <v>255</v>
      </c>
      <c r="E45" t="s">
        <v>360</v>
      </c>
      <c r="F45" t="s">
        <v>28</v>
      </c>
      <c r="G45">
        <v>22</v>
      </c>
      <c r="H45">
        <v>4.528</v>
      </c>
      <c r="I45">
        <v>26.528</v>
      </c>
      <c r="J45">
        <v>54</v>
      </c>
      <c r="K45">
        <v>32.5</v>
      </c>
      <c r="L45">
        <v>20</v>
      </c>
      <c r="M45">
        <v>18</v>
      </c>
      <c r="N45">
        <v>-2</v>
      </c>
      <c r="O45">
        <v>-0.1</v>
      </c>
      <c r="P45">
        <v>-0.3263999999999999</v>
      </c>
    </row>
    <row r="46" spans="1:16" x14ac:dyDescent="0.25">
      <c r="A46">
        <v>40</v>
      </c>
      <c r="B46" t="s">
        <v>361</v>
      </c>
      <c r="C46" t="s">
        <v>362</v>
      </c>
      <c r="D46" t="s">
        <v>255</v>
      </c>
      <c r="E46" t="s">
        <v>363</v>
      </c>
      <c r="F46" t="s">
        <v>28</v>
      </c>
      <c r="G46">
        <v>16</v>
      </c>
      <c r="H46">
        <v>4.528</v>
      </c>
      <c r="I46">
        <v>20.528</v>
      </c>
      <c r="J46">
        <v>30</v>
      </c>
      <c r="K46">
        <v>18</v>
      </c>
      <c r="L46">
        <v>13</v>
      </c>
      <c r="M46">
        <v>11.7</v>
      </c>
      <c r="N46">
        <v>-3</v>
      </c>
      <c r="O46">
        <v>-0.23076923076923078</v>
      </c>
      <c r="P46">
        <v>-0.5790769230769229</v>
      </c>
    </row>
    <row r="47" spans="1:16" x14ac:dyDescent="0.25">
      <c r="A47">
        <v>41</v>
      </c>
      <c r="B47" t="s">
        <v>364</v>
      </c>
      <c r="C47" t="s">
        <v>365</v>
      </c>
      <c r="D47" t="s">
        <v>255</v>
      </c>
      <c r="E47" t="s">
        <v>366</v>
      </c>
      <c r="F47" t="s">
        <v>28</v>
      </c>
      <c r="G47">
        <v>72</v>
      </c>
      <c r="H47">
        <v>4.528</v>
      </c>
      <c r="I47">
        <v>76.528</v>
      </c>
      <c r="J47">
        <v>194</v>
      </c>
      <c r="K47">
        <v>194</v>
      </c>
      <c r="L47">
        <v>65</v>
      </c>
      <c r="M47">
        <v>58.5</v>
      </c>
      <c r="N47">
        <v>-7</v>
      </c>
      <c r="O47">
        <v>-0.1076923076923077</v>
      </c>
      <c r="P47">
        <v>-0.17735384615384625</v>
      </c>
    </row>
    <row r="48" spans="1:16" x14ac:dyDescent="0.25">
      <c r="A48">
        <v>42</v>
      </c>
      <c r="B48" t="s">
        <v>367</v>
      </c>
      <c r="C48" t="s">
        <v>368</v>
      </c>
      <c r="D48" t="s">
        <v>255</v>
      </c>
      <c r="E48" t="s">
        <v>369</v>
      </c>
      <c r="F48" t="s">
        <v>28</v>
      </c>
      <c r="G48">
        <v>19</v>
      </c>
      <c r="H48">
        <v>4.528</v>
      </c>
      <c r="I48">
        <v>23.528</v>
      </c>
      <c r="J48">
        <v>37</v>
      </c>
      <c r="K48">
        <v>22</v>
      </c>
      <c r="L48">
        <v>18</v>
      </c>
      <c r="M48">
        <v>16.2</v>
      </c>
      <c r="N48">
        <v>-1</v>
      </c>
      <c r="O48">
        <v>-0.05555555555555555</v>
      </c>
      <c r="P48">
        <v>-0.30711111111111106</v>
      </c>
    </row>
    <row r="49" spans="1:16" x14ac:dyDescent="0.25">
      <c r="A49">
        <v>43</v>
      </c>
      <c r="B49" t="s">
        <v>370</v>
      </c>
      <c r="C49" t="s">
        <v>371</v>
      </c>
      <c r="D49" t="s">
        <v>255</v>
      </c>
      <c r="E49" t="s">
        <v>372</v>
      </c>
      <c r="F49" t="s">
        <v>28</v>
      </c>
      <c r="G49">
        <v>19</v>
      </c>
      <c r="H49">
        <v>4.528</v>
      </c>
      <c r="I49">
        <v>23.528</v>
      </c>
      <c r="J49">
        <v>37</v>
      </c>
      <c r="K49">
        <v>22</v>
      </c>
      <c r="L49">
        <v>18</v>
      </c>
      <c r="M49">
        <v>16.2</v>
      </c>
      <c r="N49">
        <v>-1</v>
      </c>
      <c r="O49">
        <v>-0.05555555555555555</v>
      </c>
      <c r="P49">
        <v>-0.30711111111111106</v>
      </c>
    </row>
    <row r="50" spans="1:16" x14ac:dyDescent="0.25">
      <c r="A50">
        <v>44</v>
      </c>
      <c r="B50" t="s">
        <v>373</v>
      </c>
      <c r="C50" t="s">
        <v>374</v>
      </c>
      <c r="D50" t="s">
        <v>255</v>
      </c>
      <c r="E50" t="s">
        <v>375</v>
      </c>
      <c r="F50" t="s">
        <v>28</v>
      </c>
      <c r="G50">
        <v>7</v>
      </c>
      <c r="H50">
        <v>4.528</v>
      </c>
      <c r="I50">
        <v>11.527999999999999</v>
      </c>
      <c r="J50">
        <v>3</v>
      </c>
      <c r="K50">
        <v>2</v>
      </c>
      <c r="L50">
        <v>6</v>
      </c>
      <c r="M50">
        <v>5.4</v>
      </c>
      <c r="N50">
        <v>-1</v>
      </c>
      <c r="O50">
        <v>-0.16666666666666666</v>
      </c>
      <c r="P50">
        <v>-0.9213333333333331</v>
      </c>
    </row>
    <row r="51" spans="1:16" x14ac:dyDescent="0.25">
      <c r="A51">
        <v>45</v>
      </c>
      <c r="B51" t="s">
        <v>376</v>
      </c>
      <c r="C51" t="s">
        <v>377</v>
      </c>
      <c r="D51" t="s">
        <v>255</v>
      </c>
      <c r="E51" t="s">
        <v>378</v>
      </c>
      <c r="F51" t="s">
        <v>28</v>
      </c>
      <c r="G51">
        <v>67</v>
      </c>
      <c r="H51">
        <v>4.528</v>
      </c>
      <c r="I51">
        <v>71.528</v>
      </c>
      <c r="J51">
        <v>162</v>
      </c>
      <c r="K51">
        <v>97</v>
      </c>
      <c r="L51">
        <v>60</v>
      </c>
      <c r="M51">
        <v>54</v>
      </c>
      <c r="N51">
        <v>-7</v>
      </c>
      <c r="O51">
        <v>-0.11666666666666667</v>
      </c>
      <c r="P51">
        <v>-0.19213333333333343</v>
      </c>
    </row>
    <row r="52" spans="1:16" x14ac:dyDescent="0.25">
      <c r="A52">
        <v>46</v>
      </c>
      <c r="B52" t="s">
        <v>379</v>
      </c>
      <c r="C52" t="s">
        <v>380</v>
      </c>
      <c r="D52" t="s">
        <v>255</v>
      </c>
      <c r="E52" t="s">
        <v>381</v>
      </c>
      <c r="F52" t="s">
        <v>28</v>
      </c>
      <c r="G52">
        <v>148</v>
      </c>
      <c r="H52">
        <v>4.528</v>
      </c>
      <c r="I52">
        <v>152.528</v>
      </c>
      <c r="J52">
        <v>255</v>
      </c>
      <c r="K52">
        <v>0</v>
      </c>
      <c r="L52">
        <v>140</v>
      </c>
      <c r="M52">
        <v>126</v>
      </c>
      <c r="N52">
        <v>-8</v>
      </c>
      <c r="O52">
        <v>-0.05714285714285714</v>
      </c>
      <c r="P52">
        <v>-0.08948571428571422</v>
      </c>
    </row>
    <row r="53" spans="1:16" x14ac:dyDescent="0.25">
      <c r="A53">
        <v>47</v>
      </c>
      <c r="B53" t="s">
        <v>382</v>
      </c>
      <c r="C53" t="s">
        <v>383</v>
      </c>
      <c r="D53" t="s">
        <v>255</v>
      </c>
      <c r="E53" t="s">
        <v>384</v>
      </c>
      <c r="F53" t="s">
        <v>28</v>
      </c>
      <c r="G53">
        <v>27</v>
      </c>
      <c r="H53">
        <v>4.528</v>
      </c>
      <c r="I53">
        <v>31.528</v>
      </c>
      <c r="J53">
        <v>25</v>
      </c>
      <c r="K53">
        <v>15</v>
      </c>
      <c r="L53">
        <v>25</v>
      </c>
      <c r="M53">
        <v>22.5</v>
      </c>
      <c r="N53">
        <v>-2</v>
      </c>
      <c r="O53">
        <v>-0.08</v>
      </c>
      <c r="P53">
        <v>-0.26111999999999996</v>
      </c>
    </row>
    <row r="54" spans="1:16" x14ac:dyDescent="0.25">
      <c r="A54">
        <v>48</v>
      </c>
      <c r="B54" t="s">
        <v>385</v>
      </c>
      <c r="C54" t="s">
        <v>386</v>
      </c>
      <c r="D54" t="s">
        <v>255</v>
      </c>
      <c r="E54" t="s">
        <v>387</v>
      </c>
      <c r="F54" t="s">
        <v>28</v>
      </c>
      <c r="G54">
        <v>27</v>
      </c>
      <c r="H54">
        <v>4.528</v>
      </c>
      <c r="I54">
        <v>31.528</v>
      </c>
      <c r="J54">
        <v>15</v>
      </c>
      <c r="K54">
        <v>9</v>
      </c>
      <c r="L54">
        <v>21</v>
      </c>
      <c r="M54">
        <v>18.9</v>
      </c>
      <c r="N54">
        <v>-6</v>
      </c>
      <c r="O54">
        <v>-0.2857142857142857</v>
      </c>
      <c r="P54">
        <v>-0.5013333333333333</v>
      </c>
    </row>
    <row r="55" spans="1:16" x14ac:dyDescent="0.25">
      <c r="A55">
        <v>49</v>
      </c>
      <c r="B55" t="s">
        <v>388</v>
      </c>
      <c r="C55" t="s">
        <v>389</v>
      </c>
      <c r="D55" t="s">
        <v>255</v>
      </c>
      <c r="E55" t="s">
        <v>390</v>
      </c>
      <c r="F55" t="s">
        <v>28</v>
      </c>
      <c r="G55">
        <v>191</v>
      </c>
      <c r="H55">
        <v>4.528</v>
      </c>
      <c r="I55">
        <v>195.528</v>
      </c>
      <c r="J55">
        <v>38</v>
      </c>
      <c r="K55">
        <v>23</v>
      </c>
      <c r="L55">
        <v>180</v>
      </c>
      <c r="M55">
        <v>162</v>
      </c>
      <c r="N55">
        <v>-11</v>
      </c>
      <c r="O55">
        <v>-0.06111111111111111</v>
      </c>
      <c r="P55">
        <v>-0.08626666666666662</v>
      </c>
    </row>
    <row r="56" spans="1:16" x14ac:dyDescent="0.25">
      <c r="A56">
        <v>50</v>
      </c>
      <c r="B56" t="s">
        <v>391</v>
      </c>
      <c r="C56" t="s">
        <v>392</v>
      </c>
      <c r="D56" t="s">
        <v>255</v>
      </c>
      <c r="E56" t="s">
        <v>393</v>
      </c>
      <c r="F56" t="s">
        <v>28</v>
      </c>
      <c r="G56">
        <v>6</v>
      </c>
      <c r="H56">
        <v>4.528</v>
      </c>
      <c r="I56">
        <v>10.527999999999999</v>
      </c>
      <c r="J56">
        <v>18</v>
      </c>
      <c r="K56">
        <v>18</v>
      </c>
      <c r="L56">
        <v>6</v>
      </c>
      <c r="M56">
        <v>5.4</v>
      </c>
      <c r="N56">
        <v>0</v>
      </c>
      <c r="O56">
        <v>0</v>
      </c>
      <c r="P56">
        <v>-0.7546666666666665</v>
      </c>
    </row>
    <row r="57" spans="1:16" x14ac:dyDescent="0.25">
      <c r="A57">
        <v>51</v>
      </c>
      <c r="B57" t="s">
        <v>394</v>
      </c>
      <c r="C57" t="s">
        <v>392</v>
      </c>
      <c r="D57" t="s">
        <v>255</v>
      </c>
      <c r="E57" t="s">
        <v>395</v>
      </c>
      <c r="F57" t="s">
        <v>28</v>
      </c>
      <c r="G57">
        <v>7</v>
      </c>
      <c r="H57">
        <v>4.528</v>
      </c>
      <c r="I57">
        <v>11.527999999999999</v>
      </c>
      <c r="J57">
        <v>18</v>
      </c>
      <c r="K57">
        <v>18</v>
      </c>
      <c r="L57">
        <v>7</v>
      </c>
      <c r="M57">
        <v>6.3</v>
      </c>
      <c r="N57">
        <v>0</v>
      </c>
      <c r="O57">
        <v>0</v>
      </c>
      <c r="P57">
        <v>-0.6468571428571427</v>
      </c>
    </row>
    <row r="58" spans="1:16" x14ac:dyDescent="0.25">
      <c r="A58">
        <v>52</v>
      </c>
      <c r="B58" t="s">
        <v>396</v>
      </c>
      <c r="C58" t="s">
        <v>397</v>
      </c>
      <c r="D58" t="s">
        <v>255</v>
      </c>
      <c r="E58" t="s">
        <v>398</v>
      </c>
      <c r="F58" t="s">
        <v>28</v>
      </c>
      <c r="G58">
        <v>5</v>
      </c>
      <c r="H58">
        <v>4.528</v>
      </c>
      <c r="I58">
        <v>9.527999999999999</v>
      </c>
      <c r="J58">
        <v>4</v>
      </c>
      <c r="K58">
        <v>3</v>
      </c>
      <c r="L58">
        <v>4.7</v>
      </c>
      <c r="M58">
        <v>4.23</v>
      </c>
      <c r="N58">
        <v>-0.2999999999999998</v>
      </c>
      <c r="O58">
        <v>-0.0638297872340425</v>
      </c>
      <c r="P58">
        <v>-1.0272340425531912</v>
      </c>
    </row>
    <row r="59" spans="1:16" x14ac:dyDescent="0.25">
      <c r="A59">
        <v>53</v>
      </c>
      <c r="B59" t="s">
        <v>399</v>
      </c>
      <c r="C59" t="s">
        <v>400</v>
      </c>
      <c r="D59" t="s">
        <v>255</v>
      </c>
      <c r="E59" t="s">
        <v>401</v>
      </c>
      <c r="F59" t="s">
        <v>28</v>
      </c>
      <c r="G59">
        <v>4</v>
      </c>
      <c r="H59">
        <v>4.528</v>
      </c>
      <c r="I59">
        <v>8.527999999999999</v>
      </c>
      <c r="J59">
        <v>2</v>
      </c>
      <c r="K59">
        <v>1.5</v>
      </c>
      <c r="L59">
        <v>3.3</v>
      </c>
      <c r="M59">
        <v>2.97</v>
      </c>
      <c r="N59">
        <v>-0.7000000000000002</v>
      </c>
      <c r="O59">
        <v>-0.21212121212121218</v>
      </c>
      <c r="P59">
        <v>-1.584242424242424</v>
      </c>
    </row>
    <row r="60" spans="1:16" x14ac:dyDescent="0.25">
      <c r="A60">
        <v>54</v>
      </c>
      <c r="B60" t="s">
        <v>402</v>
      </c>
      <c r="C60" t="s">
        <v>403</v>
      </c>
      <c r="D60" t="s">
        <v>255</v>
      </c>
      <c r="E60" t="s">
        <v>404</v>
      </c>
      <c r="F60" t="s">
        <v>28</v>
      </c>
      <c r="G60">
        <v>29</v>
      </c>
      <c r="H60">
        <v>4.528</v>
      </c>
      <c r="I60">
        <v>33.528</v>
      </c>
      <c r="J60">
        <v>16</v>
      </c>
      <c r="K60">
        <v>11</v>
      </c>
      <c r="L60">
        <v>17</v>
      </c>
      <c r="M60">
        <v>15.3</v>
      </c>
      <c r="N60">
        <v>-12</v>
      </c>
      <c r="O60">
        <v>-0.7058823529411765</v>
      </c>
      <c r="P60">
        <v>-0.972235294117647</v>
      </c>
    </row>
    <row r="61" spans="1:16" x14ac:dyDescent="0.25">
      <c r="A61">
        <v>55</v>
      </c>
      <c r="B61" t="s">
        <v>405</v>
      </c>
      <c r="C61" t="s">
        <v>406</v>
      </c>
      <c r="D61" t="s">
        <v>255</v>
      </c>
      <c r="E61" t="s">
        <v>407</v>
      </c>
      <c r="F61" t="s">
        <v>28</v>
      </c>
      <c r="G61">
        <v>29</v>
      </c>
      <c r="H61">
        <v>4.528</v>
      </c>
      <c r="I61">
        <v>33.528</v>
      </c>
      <c r="J61">
        <v>19</v>
      </c>
      <c r="K61">
        <v>14.5</v>
      </c>
      <c r="L61">
        <v>17</v>
      </c>
      <c r="M61">
        <v>15.3</v>
      </c>
      <c r="N61">
        <v>-12</v>
      </c>
      <c r="O61">
        <v>-0.7058823529411765</v>
      </c>
      <c r="P61">
        <v>-0.972235294117647</v>
      </c>
    </row>
    <row r="62" spans="1:16" x14ac:dyDescent="0.25">
      <c r="A62">
        <v>56</v>
      </c>
      <c r="B62" t="s">
        <v>408</v>
      </c>
      <c r="C62" t="s">
        <v>409</v>
      </c>
      <c r="D62" t="s">
        <v>255</v>
      </c>
      <c r="E62" t="s">
        <v>410</v>
      </c>
      <c r="F62" t="s">
        <v>28</v>
      </c>
      <c r="G62">
        <v>29</v>
      </c>
      <c r="H62">
        <v>4.528</v>
      </c>
      <c r="I62">
        <v>33.528</v>
      </c>
      <c r="J62">
        <v>20</v>
      </c>
      <c r="K62">
        <v>15</v>
      </c>
      <c r="L62">
        <v>17</v>
      </c>
      <c r="M62">
        <v>15.3</v>
      </c>
      <c r="N62">
        <v>-12</v>
      </c>
      <c r="O62">
        <v>-0.7058823529411765</v>
      </c>
      <c r="P62">
        <v>-0.972235294117647</v>
      </c>
    </row>
    <row r="63" spans="1:16" x14ac:dyDescent="0.25">
      <c r="A63">
        <v>57</v>
      </c>
      <c r="B63" t="s">
        <v>411</v>
      </c>
      <c r="C63" t="s">
        <v>412</v>
      </c>
      <c r="D63" t="s">
        <v>255</v>
      </c>
      <c r="E63" t="s">
        <v>413</v>
      </c>
      <c r="F63" t="s">
        <v>28</v>
      </c>
      <c r="G63">
        <v>36</v>
      </c>
      <c r="H63">
        <v>4.528</v>
      </c>
      <c r="I63">
        <v>40.528</v>
      </c>
      <c r="J63">
        <v>88</v>
      </c>
      <c r="K63">
        <v>53</v>
      </c>
      <c r="L63">
        <v>33</v>
      </c>
      <c r="M63">
        <v>29.7</v>
      </c>
      <c r="N63">
        <v>-3</v>
      </c>
      <c r="O63">
        <v>-0.09090909090909091</v>
      </c>
      <c r="P63">
        <v>-0.22812121212121209</v>
      </c>
    </row>
    <row r="64" spans="1:16" x14ac:dyDescent="0.25">
      <c r="A64">
        <v>58</v>
      </c>
      <c r="B64" t="s">
        <v>414</v>
      </c>
      <c r="C64" t="s">
        <v>415</v>
      </c>
      <c r="D64" t="s">
        <v>255</v>
      </c>
      <c r="E64" t="s">
        <v>416</v>
      </c>
      <c r="F64" t="s">
        <v>28</v>
      </c>
      <c r="G64">
        <v>4</v>
      </c>
      <c r="H64">
        <v>4.528</v>
      </c>
      <c r="I64">
        <v>8.527999999999999</v>
      </c>
      <c r="J64">
        <v>3</v>
      </c>
      <c r="K64">
        <v>2</v>
      </c>
      <c r="L64">
        <v>3.7</v>
      </c>
      <c r="M64">
        <v>3.33</v>
      </c>
      <c r="N64">
        <v>-0.2999999999999998</v>
      </c>
      <c r="O64">
        <v>-0.08108108108108103</v>
      </c>
      <c r="P64">
        <v>-1.3048648648648644</v>
      </c>
    </row>
    <row r="65" spans="1:16" x14ac:dyDescent="0.25">
      <c r="A65">
        <v>59</v>
      </c>
      <c r="B65" t="s">
        <v>417</v>
      </c>
      <c r="C65" t="s">
        <v>418</v>
      </c>
      <c r="D65" t="s">
        <v>255</v>
      </c>
      <c r="E65" t="s">
        <v>419</v>
      </c>
      <c r="F65" t="s">
        <v>28</v>
      </c>
      <c r="G65">
        <v>4</v>
      </c>
      <c r="H65">
        <v>4.528</v>
      </c>
      <c r="I65">
        <v>8.527999999999999</v>
      </c>
      <c r="J65">
        <v>3</v>
      </c>
      <c r="K65">
        <v>2.5</v>
      </c>
      <c r="L65">
        <v>3.7</v>
      </c>
      <c r="M65">
        <v>3.33</v>
      </c>
      <c r="N65">
        <v>-0.2999999999999998</v>
      </c>
      <c r="O65">
        <v>-0.08108108108108103</v>
      </c>
      <c r="P65">
        <v>-1.3048648648648644</v>
      </c>
    </row>
    <row r="66" spans="1:16" x14ac:dyDescent="0.25">
      <c r="A66">
        <v>60</v>
      </c>
      <c r="B66" t="s">
        <v>420</v>
      </c>
      <c r="C66" t="s">
        <v>421</v>
      </c>
      <c r="D66" t="s">
        <v>255</v>
      </c>
      <c r="E66" t="s">
        <v>422</v>
      </c>
      <c r="F66" t="s">
        <v>28</v>
      </c>
      <c r="G66">
        <v>25</v>
      </c>
      <c r="H66">
        <v>4.528</v>
      </c>
      <c r="I66">
        <v>29.528</v>
      </c>
      <c r="J66">
        <v>12</v>
      </c>
      <c r="K66">
        <v>9</v>
      </c>
      <c r="L66">
        <v>23</v>
      </c>
      <c r="M66">
        <v>20.7</v>
      </c>
      <c r="N66">
        <v>-2</v>
      </c>
      <c r="O66">
        <v>-0.08695652173913043</v>
      </c>
      <c r="P66">
        <v>-0.2838260869565217</v>
      </c>
    </row>
    <row r="67" spans="1:16" x14ac:dyDescent="0.25">
      <c r="A67">
        <v>61</v>
      </c>
      <c r="B67" t="s">
        <v>423</v>
      </c>
      <c r="C67" t="s">
        <v>424</v>
      </c>
      <c r="D67" t="s">
        <v>255</v>
      </c>
      <c r="E67" t="s">
        <v>425</v>
      </c>
      <c r="F67" t="s">
        <v>28</v>
      </c>
      <c r="G67">
        <v>63</v>
      </c>
      <c r="H67">
        <v>4.528</v>
      </c>
      <c r="I67">
        <v>67.528</v>
      </c>
      <c r="J67">
        <v>170</v>
      </c>
      <c r="K67">
        <v>0</v>
      </c>
      <c r="L67">
        <v>50</v>
      </c>
      <c r="M67">
        <v>45</v>
      </c>
      <c r="N67">
        <v>-13</v>
      </c>
      <c r="O67">
        <v>-0.26</v>
      </c>
      <c r="P67">
        <v>-0.3505600000000001</v>
      </c>
    </row>
    <row r="68" spans="1:16" x14ac:dyDescent="0.25">
      <c r="A68">
        <v>62</v>
      </c>
      <c r="B68" t="s">
        <v>426</v>
      </c>
      <c r="C68" t="s">
        <v>427</v>
      </c>
      <c r="D68" t="s">
        <v>255</v>
      </c>
      <c r="E68" t="s">
        <v>428</v>
      </c>
      <c r="F68" t="s">
        <v>28</v>
      </c>
      <c r="G68">
        <v>43</v>
      </c>
      <c r="H68">
        <v>4.528</v>
      </c>
      <c r="I68">
        <v>47.528</v>
      </c>
      <c r="J68">
        <v>101</v>
      </c>
      <c r="K68">
        <v>60.5</v>
      </c>
      <c r="L68">
        <v>40</v>
      </c>
      <c r="M68">
        <v>36</v>
      </c>
      <c r="N68">
        <v>-3</v>
      </c>
      <c r="O68">
        <v>-0.075</v>
      </c>
      <c r="P68">
        <v>-0.18819999999999998</v>
      </c>
    </row>
    <row r="69" spans="1:16" x14ac:dyDescent="0.25">
      <c r="A69">
        <v>63</v>
      </c>
      <c r="B69" t="s">
        <v>429</v>
      </c>
      <c r="C69" t="s">
        <v>430</v>
      </c>
      <c r="D69" t="s">
        <v>255</v>
      </c>
      <c r="E69" t="s">
        <v>431</v>
      </c>
      <c r="F69" t="s">
        <v>28</v>
      </c>
      <c r="G69">
        <v>22</v>
      </c>
      <c r="H69">
        <v>4.528</v>
      </c>
      <c r="I69">
        <v>26.528</v>
      </c>
      <c r="J69">
        <v>7</v>
      </c>
      <c r="K69">
        <v>4</v>
      </c>
      <c r="L69">
        <v>20</v>
      </c>
      <c r="M69">
        <v>18</v>
      </c>
      <c r="N69">
        <v>-2</v>
      </c>
      <c r="O69">
        <v>-0.1</v>
      </c>
      <c r="P69">
        <v>-0.3263999999999999</v>
      </c>
    </row>
    <row r="70" spans="1:16" x14ac:dyDescent="0.25">
      <c r="A70">
        <v>64</v>
      </c>
      <c r="B70" t="s">
        <v>432</v>
      </c>
      <c r="C70" t="s">
        <v>433</v>
      </c>
      <c r="D70" t="s">
        <v>255</v>
      </c>
      <c r="E70" t="s">
        <v>434</v>
      </c>
      <c r="F70" t="s">
        <v>28</v>
      </c>
      <c r="G70">
        <v>70</v>
      </c>
      <c r="H70">
        <v>4.528</v>
      </c>
      <c r="I70">
        <v>74.528</v>
      </c>
      <c r="J70">
        <v>122</v>
      </c>
      <c r="K70">
        <v>73</v>
      </c>
      <c r="L70">
        <v>55</v>
      </c>
      <c r="M70">
        <v>49.5</v>
      </c>
      <c r="N70">
        <v>-15</v>
      </c>
      <c r="O70">
        <v>-0.2727272727272727</v>
      </c>
      <c r="P70">
        <v>-0.35505454545454557</v>
      </c>
    </row>
    <row r="71" spans="1:16" x14ac:dyDescent="0.25">
      <c r="A71">
        <v>65</v>
      </c>
      <c r="B71" t="s">
        <v>435</v>
      </c>
      <c r="C71" t="s">
        <v>436</v>
      </c>
      <c r="D71" t="s">
        <v>255</v>
      </c>
      <c r="E71" t="s">
        <v>437</v>
      </c>
      <c r="F71" t="s">
        <v>28</v>
      </c>
      <c r="G71">
        <v>182</v>
      </c>
      <c r="H71">
        <v>4.528</v>
      </c>
      <c r="I71">
        <v>186.528</v>
      </c>
      <c r="J71">
        <v>422</v>
      </c>
      <c r="K71">
        <v>253</v>
      </c>
      <c r="L71">
        <v>170</v>
      </c>
      <c r="M71">
        <v>153</v>
      </c>
      <c r="N71">
        <v>-12</v>
      </c>
      <c r="O71">
        <v>-0.07058823529411765</v>
      </c>
      <c r="P71">
        <v>-0.09722352941176465</v>
      </c>
    </row>
    <row r="72" spans="1:16" x14ac:dyDescent="0.25">
      <c r="A72">
        <v>66</v>
      </c>
      <c r="B72" t="s">
        <v>438</v>
      </c>
      <c r="C72" t="s">
        <v>439</v>
      </c>
      <c r="D72" t="s">
        <v>255</v>
      </c>
      <c r="E72" t="s">
        <v>440</v>
      </c>
      <c r="F72" t="s">
        <v>28</v>
      </c>
      <c r="G72">
        <v>76</v>
      </c>
      <c r="H72">
        <v>4.528</v>
      </c>
      <c r="I72">
        <v>80.528</v>
      </c>
      <c r="J72">
        <v>196</v>
      </c>
      <c r="K72">
        <v>117.5</v>
      </c>
      <c r="L72">
        <v>70</v>
      </c>
      <c r="M72">
        <v>63</v>
      </c>
      <c r="N72">
        <v>-6</v>
      </c>
      <c r="O72">
        <v>-0.08571428571428572</v>
      </c>
      <c r="P72">
        <v>-0.1504000000000001</v>
      </c>
    </row>
    <row r="73" spans="1:16" x14ac:dyDescent="0.25">
      <c r="A73">
        <v>67</v>
      </c>
      <c r="B73" t="s">
        <v>441</v>
      </c>
      <c r="C73" t="s">
        <v>442</v>
      </c>
      <c r="D73" t="s">
        <v>255</v>
      </c>
      <c r="E73" t="s">
        <v>443</v>
      </c>
      <c r="F73" t="s">
        <v>28</v>
      </c>
      <c r="G73">
        <v>22</v>
      </c>
      <c r="H73">
        <v>4.528</v>
      </c>
      <c r="I73">
        <v>26.528</v>
      </c>
      <c r="J73">
        <v>54</v>
      </c>
      <c r="K73">
        <v>32.5</v>
      </c>
      <c r="L73">
        <v>17</v>
      </c>
      <c r="M73">
        <v>15.3</v>
      </c>
      <c r="N73">
        <v>-5</v>
      </c>
      <c r="O73">
        <v>-0.29411764705882354</v>
      </c>
      <c r="P73">
        <v>-0.560470588235294</v>
      </c>
    </row>
    <row r="74" spans="1:16" x14ac:dyDescent="0.25">
      <c r="A74">
        <v>68</v>
      </c>
      <c r="B74" t="s">
        <v>444</v>
      </c>
      <c r="C74" t="s">
        <v>442</v>
      </c>
      <c r="D74" t="s">
        <v>255</v>
      </c>
      <c r="E74" t="s">
        <v>445</v>
      </c>
      <c r="F74" t="s">
        <v>28</v>
      </c>
      <c r="G74">
        <v>41</v>
      </c>
      <c r="H74">
        <v>4.528</v>
      </c>
      <c r="I74">
        <v>45.528</v>
      </c>
      <c r="J74">
        <v>54</v>
      </c>
      <c r="K74">
        <v>32.5</v>
      </c>
      <c r="L74">
        <v>38</v>
      </c>
      <c r="M74">
        <v>34.2</v>
      </c>
      <c r="N74">
        <v>-3</v>
      </c>
      <c r="O74">
        <v>-0.07894736842105263</v>
      </c>
      <c r="P74">
        <v>-0.1981052631578947</v>
      </c>
    </row>
    <row r="75" spans="1:16" x14ac:dyDescent="0.25">
      <c r="A75">
        <v>69</v>
      </c>
      <c r="B75" t="s">
        <v>446</v>
      </c>
      <c r="C75" t="s">
        <v>447</v>
      </c>
      <c r="D75" t="s">
        <v>255</v>
      </c>
      <c r="E75" t="s">
        <v>448</v>
      </c>
      <c r="F75" t="s">
        <v>28</v>
      </c>
      <c r="G75">
        <v>22</v>
      </c>
      <c r="H75">
        <v>4.528</v>
      </c>
      <c r="I75">
        <v>26.528</v>
      </c>
      <c r="J75">
        <v>54</v>
      </c>
      <c r="K75">
        <v>32.5</v>
      </c>
      <c r="L75">
        <v>17</v>
      </c>
      <c r="M75">
        <v>15.3</v>
      </c>
      <c r="N75">
        <v>-5</v>
      </c>
      <c r="O75">
        <v>-0.29411764705882354</v>
      </c>
      <c r="P75">
        <v>-0.560470588235294</v>
      </c>
    </row>
    <row r="76" spans="1:16" x14ac:dyDescent="0.25">
      <c r="A76">
        <v>70</v>
      </c>
      <c r="B76" t="s">
        <v>449</v>
      </c>
      <c r="C76" t="s">
        <v>450</v>
      </c>
      <c r="D76" t="s">
        <v>255</v>
      </c>
      <c r="E76" t="s">
        <v>451</v>
      </c>
      <c r="F76" t="s">
        <v>28</v>
      </c>
      <c r="G76">
        <v>64</v>
      </c>
      <c r="H76">
        <v>4.528</v>
      </c>
      <c r="I76">
        <v>68.528</v>
      </c>
      <c r="J76">
        <v>159</v>
      </c>
      <c r="K76">
        <v>95.5</v>
      </c>
      <c r="L76">
        <v>55</v>
      </c>
      <c r="M76">
        <v>49.5</v>
      </c>
      <c r="N76">
        <v>-9</v>
      </c>
      <c r="O76">
        <v>-0.16363636363636364</v>
      </c>
      <c r="P76">
        <v>-0.24596363636363647</v>
      </c>
    </row>
    <row r="77" spans="1:16" x14ac:dyDescent="0.25">
      <c r="A77">
        <v>71</v>
      </c>
      <c r="B77" t="s">
        <v>452</v>
      </c>
      <c r="C77" t="s">
        <v>453</v>
      </c>
      <c r="D77" t="s">
        <v>255</v>
      </c>
      <c r="E77" t="s">
        <v>454</v>
      </c>
      <c r="F77" t="s">
        <v>28</v>
      </c>
      <c r="G77">
        <v>6</v>
      </c>
      <c r="H77">
        <v>4.528</v>
      </c>
      <c r="I77">
        <v>10.527999999999999</v>
      </c>
      <c r="J77">
        <v>16</v>
      </c>
      <c r="K77">
        <v>10.5</v>
      </c>
      <c r="L77">
        <v>6</v>
      </c>
      <c r="M77">
        <v>5.4</v>
      </c>
      <c r="N77">
        <v>0</v>
      </c>
      <c r="O77">
        <v>0</v>
      </c>
      <c r="P77">
        <v>-0.7546666666666665</v>
      </c>
    </row>
    <row r="78" spans="1:16" x14ac:dyDescent="0.25">
      <c r="A78">
        <v>72</v>
      </c>
      <c r="B78" t="s">
        <v>455</v>
      </c>
      <c r="C78" t="s">
        <v>456</v>
      </c>
      <c r="D78" t="s">
        <v>255</v>
      </c>
      <c r="E78" t="s">
        <v>457</v>
      </c>
      <c r="F78" t="s">
        <v>28</v>
      </c>
      <c r="G78">
        <v>7</v>
      </c>
      <c r="H78">
        <v>4.528</v>
      </c>
      <c r="I78">
        <v>11.527999999999999</v>
      </c>
      <c r="J78">
        <v>14</v>
      </c>
      <c r="K78">
        <v>9</v>
      </c>
      <c r="L78">
        <v>7</v>
      </c>
      <c r="M78">
        <v>6.3</v>
      </c>
      <c r="N78">
        <v>0</v>
      </c>
      <c r="O78">
        <v>0</v>
      </c>
      <c r="P78">
        <v>-0.6468571428571427</v>
      </c>
    </row>
    <row r="79" spans="1:16" x14ac:dyDescent="0.25">
      <c r="A79">
        <v>73</v>
      </c>
      <c r="B79" t="s">
        <v>458</v>
      </c>
      <c r="C79" t="s">
        <v>459</v>
      </c>
      <c r="D79" t="s">
        <v>255</v>
      </c>
      <c r="E79" t="s">
        <v>460</v>
      </c>
      <c r="F79" t="s">
        <v>28</v>
      </c>
      <c r="G79">
        <v>135</v>
      </c>
      <c r="H79">
        <v>4.528</v>
      </c>
      <c r="I79">
        <v>139.528</v>
      </c>
      <c r="J79">
        <v>316</v>
      </c>
      <c r="K79">
        <v>189.5</v>
      </c>
      <c r="L79">
        <v>125</v>
      </c>
      <c r="M79">
        <v>112.5</v>
      </c>
      <c r="N79">
        <v>-10</v>
      </c>
      <c r="O79">
        <v>-0.08</v>
      </c>
      <c r="P79">
        <v>-0.11622399999999994</v>
      </c>
    </row>
    <row r="80" spans="1:16" x14ac:dyDescent="0.25">
      <c r="A80">
        <v>74</v>
      </c>
      <c r="B80" t="s">
        <v>461</v>
      </c>
      <c r="C80" t="s">
        <v>462</v>
      </c>
      <c r="D80" t="s">
        <v>255</v>
      </c>
      <c r="E80" t="s">
        <v>463</v>
      </c>
      <c r="F80" t="s">
        <v>28</v>
      </c>
      <c r="G80">
        <v>3</v>
      </c>
      <c r="H80">
        <v>4.528</v>
      </c>
      <c r="I80">
        <v>7.528</v>
      </c>
      <c r="J80">
        <v>4</v>
      </c>
      <c r="K80">
        <v>3.5</v>
      </c>
      <c r="L80">
        <v>2.8</v>
      </c>
      <c r="M80">
        <v>2.52</v>
      </c>
      <c r="N80">
        <v>-0.20000000000000018</v>
      </c>
      <c r="O80">
        <v>-0.0714285714285715</v>
      </c>
      <c r="P80">
        <v>-1.6885714285714286</v>
      </c>
    </row>
    <row r="81" spans="1:16" x14ac:dyDescent="0.25">
      <c r="A81">
        <v>75</v>
      </c>
      <c r="B81" t="s">
        <v>464</v>
      </c>
      <c r="C81" t="s">
        <v>465</v>
      </c>
      <c r="D81" t="s">
        <v>255</v>
      </c>
      <c r="E81" t="s">
        <v>466</v>
      </c>
      <c r="F81" t="s">
        <v>28</v>
      </c>
      <c r="G81">
        <v>13</v>
      </c>
      <c r="H81">
        <v>4.528</v>
      </c>
      <c r="I81">
        <v>17.528</v>
      </c>
      <c r="J81">
        <v>33</v>
      </c>
      <c r="K81">
        <v>20</v>
      </c>
      <c r="L81">
        <v>12</v>
      </c>
      <c r="M81">
        <v>10.8</v>
      </c>
      <c r="N81">
        <v>-1</v>
      </c>
      <c r="O81">
        <v>-0.08333333333333333</v>
      </c>
      <c r="P81">
        <v>-0.46066666666666656</v>
      </c>
    </row>
    <row r="82" spans="1:16" x14ac:dyDescent="0.25">
      <c r="A82">
        <v>76</v>
      </c>
      <c r="B82" t="s">
        <v>467</v>
      </c>
      <c r="C82" t="s">
        <v>468</v>
      </c>
      <c r="D82" t="s">
        <v>255</v>
      </c>
      <c r="E82" t="s">
        <v>469</v>
      </c>
      <c r="F82" t="s">
        <v>28</v>
      </c>
      <c r="G82">
        <v>13</v>
      </c>
      <c r="H82">
        <v>4.528</v>
      </c>
      <c r="I82">
        <v>17.528</v>
      </c>
      <c r="J82">
        <v>33</v>
      </c>
      <c r="K82">
        <v>20</v>
      </c>
      <c r="L82">
        <v>12</v>
      </c>
      <c r="M82">
        <v>10.8</v>
      </c>
      <c r="N82">
        <v>-1</v>
      </c>
      <c r="O82">
        <v>-0.08333333333333333</v>
      </c>
      <c r="P82">
        <v>-0.46066666666666656</v>
      </c>
    </row>
    <row r="83" spans="1:16" x14ac:dyDescent="0.25">
      <c r="A83">
        <v>77</v>
      </c>
      <c r="B83" t="s">
        <v>470</v>
      </c>
      <c r="C83" t="s">
        <v>471</v>
      </c>
      <c r="D83" t="s">
        <v>255</v>
      </c>
      <c r="E83" t="s">
        <v>472</v>
      </c>
      <c r="F83" t="s">
        <v>28</v>
      </c>
      <c r="G83">
        <v>18</v>
      </c>
      <c r="H83">
        <v>4.528</v>
      </c>
      <c r="I83">
        <v>22.528</v>
      </c>
      <c r="J83">
        <v>45</v>
      </c>
      <c r="K83">
        <v>27</v>
      </c>
      <c r="L83">
        <v>15</v>
      </c>
      <c r="M83">
        <v>13.5</v>
      </c>
      <c r="N83">
        <v>-3</v>
      </c>
      <c r="O83">
        <v>-0.2</v>
      </c>
      <c r="P83">
        <v>-0.5018666666666666</v>
      </c>
    </row>
    <row r="84" spans="1:16" x14ac:dyDescent="0.25">
      <c r="A84">
        <v>78</v>
      </c>
      <c r="B84" t="s">
        <v>473</v>
      </c>
      <c r="C84" t="s">
        <v>474</v>
      </c>
      <c r="D84" t="s">
        <v>255</v>
      </c>
      <c r="E84" t="s">
        <v>475</v>
      </c>
      <c r="F84" t="s">
        <v>28</v>
      </c>
      <c r="G84">
        <v>18</v>
      </c>
      <c r="H84">
        <v>4.528</v>
      </c>
      <c r="I84">
        <v>22.528</v>
      </c>
      <c r="J84">
        <v>45</v>
      </c>
      <c r="K84">
        <v>27</v>
      </c>
      <c r="L84">
        <v>15</v>
      </c>
      <c r="M84">
        <v>13.5</v>
      </c>
      <c r="N84">
        <v>-3</v>
      </c>
      <c r="O84">
        <v>-0.2</v>
      </c>
      <c r="P84">
        <v>-0.5018666666666666</v>
      </c>
    </row>
    <row r="85" spans="1:16" x14ac:dyDescent="0.25">
      <c r="A85">
        <v>79</v>
      </c>
      <c r="B85" t="s">
        <v>476</v>
      </c>
      <c r="C85" t="s">
        <v>477</v>
      </c>
      <c r="D85" t="s">
        <v>255</v>
      </c>
      <c r="E85" t="s">
        <v>478</v>
      </c>
      <c r="F85" t="s">
        <v>28</v>
      </c>
      <c r="G85">
        <v>5</v>
      </c>
      <c r="H85">
        <v>4.528</v>
      </c>
      <c r="I85">
        <v>9.527999999999999</v>
      </c>
      <c r="J85">
        <v>3</v>
      </c>
      <c r="K85">
        <v>2.5</v>
      </c>
      <c r="L85">
        <v>4</v>
      </c>
      <c r="M85">
        <v>3.6</v>
      </c>
      <c r="N85">
        <v>-1</v>
      </c>
      <c r="O85">
        <v>-0.25</v>
      </c>
      <c r="P85">
        <v>-1.3819999999999997</v>
      </c>
    </row>
    <row r="86" spans="1:16" x14ac:dyDescent="0.25">
      <c r="A86">
        <v>80</v>
      </c>
      <c r="B86" t="s">
        <v>479</v>
      </c>
      <c r="C86" t="s">
        <v>480</v>
      </c>
      <c r="D86" t="s">
        <v>255</v>
      </c>
      <c r="E86" t="s">
        <v>481</v>
      </c>
      <c r="F86" t="s">
        <v>28</v>
      </c>
      <c r="G86">
        <v>5</v>
      </c>
      <c r="H86">
        <v>4.528</v>
      </c>
      <c r="I86">
        <v>9.527999999999999</v>
      </c>
      <c r="J86">
        <v>5</v>
      </c>
      <c r="K86">
        <v>3.5</v>
      </c>
      <c r="L86">
        <v>3.7</v>
      </c>
      <c r="M86">
        <v>3.33</v>
      </c>
      <c r="N86">
        <v>-1.2999999999999998</v>
      </c>
      <c r="O86">
        <v>-0.35135135135135126</v>
      </c>
      <c r="P86">
        <v>-1.5751351351351346</v>
      </c>
    </row>
    <row r="87" spans="1:16" x14ac:dyDescent="0.25">
      <c r="A87">
        <v>81</v>
      </c>
      <c r="B87" t="s">
        <v>482</v>
      </c>
      <c r="C87" t="s">
        <v>483</v>
      </c>
      <c r="D87" t="s">
        <v>255</v>
      </c>
      <c r="E87" t="s">
        <v>484</v>
      </c>
      <c r="F87" t="s">
        <v>28</v>
      </c>
      <c r="G87">
        <v>5</v>
      </c>
      <c r="H87">
        <v>4.528</v>
      </c>
      <c r="I87">
        <v>9.527999999999999</v>
      </c>
      <c r="J87">
        <v>3</v>
      </c>
      <c r="K87">
        <v>2.5</v>
      </c>
      <c r="L87">
        <v>3.9</v>
      </c>
      <c r="M87">
        <v>3.51</v>
      </c>
      <c r="N87">
        <v>-1.1</v>
      </c>
      <c r="O87">
        <v>-0.2820512820512821</v>
      </c>
      <c r="P87">
        <v>-1.4430769230769227</v>
      </c>
    </row>
    <row r="88" spans="1:16" x14ac:dyDescent="0.25">
      <c r="A88">
        <v>82</v>
      </c>
      <c r="B88" t="s">
        <v>485</v>
      </c>
      <c r="C88" t="s">
        <v>486</v>
      </c>
      <c r="D88" t="s">
        <v>255</v>
      </c>
      <c r="E88" t="s">
        <v>487</v>
      </c>
      <c r="F88" t="s">
        <v>28</v>
      </c>
      <c r="G88">
        <v>126</v>
      </c>
      <c r="H88">
        <v>4.528</v>
      </c>
      <c r="I88">
        <v>130.528</v>
      </c>
      <c r="J88">
        <v>354</v>
      </c>
      <c r="K88">
        <v>212.5</v>
      </c>
      <c r="L88">
        <v>115</v>
      </c>
      <c r="M88">
        <v>103.5</v>
      </c>
      <c r="N88">
        <v>-11</v>
      </c>
      <c r="O88">
        <v>-0.09565217391304348</v>
      </c>
      <c r="P88">
        <v>-0.13502608695652166</v>
      </c>
    </row>
    <row r="89" spans="1:16" x14ac:dyDescent="0.25">
      <c r="A89">
        <v>83</v>
      </c>
      <c r="B89" t="s">
        <v>488</v>
      </c>
      <c r="C89" t="s">
        <v>489</v>
      </c>
      <c r="D89" t="s">
        <v>255</v>
      </c>
      <c r="E89" t="s">
        <v>490</v>
      </c>
      <c r="F89" t="s">
        <v>28</v>
      </c>
      <c r="G89">
        <v>10</v>
      </c>
      <c r="H89">
        <v>4.528</v>
      </c>
      <c r="I89">
        <v>14.527999999999999</v>
      </c>
      <c r="J89">
        <v>6</v>
      </c>
      <c r="K89">
        <v>3.5</v>
      </c>
      <c r="L89">
        <v>9</v>
      </c>
      <c r="M89">
        <v>8.1</v>
      </c>
      <c r="N89">
        <v>-1</v>
      </c>
      <c r="O89">
        <v>-0.1111111111111111</v>
      </c>
      <c r="P89">
        <v>-0.6142222222222221</v>
      </c>
    </row>
    <row r="90" spans="1:16" x14ac:dyDescent="0.25">
      <c r="A90">
        <v>84</v>
      </c>
      <c r="B90" t="s">
        <v>491</v>
      </c>
      <c r="C90" t="s">
        <v>492</v>
      </c>
      <c r="D90" t="s">
        <v>255</v>
      </c>
      <c r="E90" t="s">
        <v>493</v>
      </c>
      <c r="F90" t="s">
        <v>28</v>
      </c>
      <c r="G90">
        <v>9</v>
      </c>
      <c r="H90">
        <v>4.528</v>
      </c>
      <c r="I90">
        <v>13.527999999999999</v>
      </c>
      <c r="J90">
        <v>5</v>
      </c>
      <c r="K90">
        <v>3.5</v>
      </c>
      <c r="L90">
        <v>8</v>
      </c>
      <c r="M90">
        <v>7.2</v>
      </c>
      <c r="N90">
        <v>-1</v>
      </c>
      <c r="O90">
        <v>-0.125</v>
      </c>
      <c r="P90">
        <v>-0.6909999999999998</v>
      </c>
    </row>
    <row r="91" spans="1:16" x14ac:dyDescent="0.25">
      <c r="A91">
        <v>85</v>
      </c>
      <c r="B91" t="s">
        <v>494</v>
      </c>
      <c r="C91" t="s">
        <v>334</v>
      </c>
      <c r="D91" t="s">
        <v>255</v>
      </c>
      <c r="E91" t="s">
        <v>495</v>
      </c>
      <c r="F91" t="s">
        <v>28</v>
      </c>
      <c r="G91">
        <v>23</v>
      </c>
      <c r="H91">
        <v>4.528</v>
      </c>
      <c r="I91">
        <v>27.528</v>
      </c>
      <c r="J91">
        <v>54</v>
      </c>
      <c r="K91">
        <v>32.5</v>
      </c>
      <c r="L91">
        <v>18</v>
      </c>
      <c r="M91">
        <v>16.2</v>
      </c>
      <c r="N91">
        <v>-5</v>
      </c>
      <c r="O91">
        <v>-0.2777777777777778</v>
      </c>
      <c r="P91">
        <v>-0.5293333333333332</v>
      </c>
    </row>
    <row r="92" spans="1:16" x14ac:dyDescent="0.25">
      <c r="A92">
        <v>86</v>
      </c>
      <c r="B92" t="s">
        <v>496</v>
      </c>
      <c r="C92" t="s">
        <v>334</v>
      </c>
      <c r="D92" t="s">
        <v>255</v>
      </c>
      <c r="E92" t="s">
        <v>497</v>
      </c>
      <c r="F92" t="s">
        <v>28</v>
      </c>
      <c r="G92">
        <v>22</v>
      </c>
      <c r="H92">
        <v>4.528</v>
      </c>
      <c r="I92">
        <v>26.528</v>
      </c>
      <c r="J92">
        <v>54</v>
      </c>
      <c r="K92">
        <v>32.5</v>
      </c>
      <c r="L92">
        <v>16</v>
      </c>
      <c r="M92">
        <v>14.4</v>
      </c>
      <c r="N92">
        <v>-6</v>
      </c>
      <c r="O92">
        <v>-0.375</v>
      </c>
      <c r="P92">
        <v>-0.6579999999999999</v>
      </c>
    </row>
    <row r="93" spans="1:16" x14ac:dyDescent="0.25">
      <c r="A93">
        <v>87</v>
      </c>
      <c r="B93" t="s">
        <v>498</v>
      </c>
      <c r="C93" t="s">
        <v>499</v>
      </c>
      <c r="D93" t="s">
        <v>255</v>
      </c>
      <c r="E93" t="s">
        <v>500</v>
      </c>
      <c r="F93" t="s">
        <v>28</v>
      </c>
      <c r="G93">
        <v>38</v>
      </c>
      <c r="H93">
        <v>4.528</v>
      </c>
      <c r="I93">
        <v>42.528</v>
      </c>
      <c r="J93">
        <v>88</v>
      </c>
      <c r="K93">
        <v>53</v>
      </c>
      <c r="L93">
        <v>35</v>
      </c>
      <c r="M93">
        <v>31.5</v>
      </c>
      <c r="N93">
        <v>-3</v>
      </c>
      <c r="O93">
        <v>-0.08571428571428572</v>
      </c>
      <c r="P93">
        <v>-0.21508571428571424</v>
      </c>
    </row>
    <row r="94" spans="1:16" x14ac:dyDescent="0.25">
      <c r="A94">
        <v>88</v>
      </c>
      <c r="B94" t="s">
        <v>501</v>
      </c>
      <c r="C94" t="s">
        <v>502</v>
      </c>
      <c r="D94" t="s">
        <v>255</v>
      </c>
      <c r="E94" t="s">
        <v>503</v>
      </c>
      <c r="F94" t="s">
        <v>28</v>
      </c>
      <c r="G94">
        <v>20</v>
      </c>
      <c r="H94">
        <v>4.528</v>
      </c>
      <c r="I94">
        <v>24.528</v>
      </c>
      <c r="J94">
        <v>25</v>
      </c>
      <c r="K94">
        <v>19</v>
      </c>
      <c r="L94">
        <v>17</v>
      </c>
      <c r="M94">
        <v>15.3</v>
      </c>
      <c r="N94">
        <v>-3</v>
      </c>
      <c r="O94">
        <v>-0.17647058823529413</v>
      </c>
      <c r="P94">
        <v>-0.4428235294117646</v>
      </c>
    </row>
    <row r="95" spans="1:16" x14ac:dyDescent="0.25">
      <c r="A95">
        <v>89</v>
      </c>
      <c r="B95" t="s">
        <v>504</v>
      </c>
      <c r="C95" t="s">
        <v>505</v>
      </c>
      <c r="D95" t="s">
        <v>255</v>
      </c>
      <c r="E95" t="s">
        <v>506</v>
      </c>
      <c r="F95" t="s">
        <v>28</v>
      </c>
      <c r="G95">
        <v>171</v>
      </c>
      <c r="H95">
        <v>4.528</v>
      </c>
      <c r="I95">
        <v>175.528</v>
      </c>
      <c r="J95">
        <v>757</v>
      </c>
      <c r="K95">
        <v>454</v>
      </c>
      <c r="L95">
        <v>115</v>
      </c>
      <c r="M95">
        <v>103.5</v>
      </c>
      <c r="N95">
        <v>-56</v>
      </c>
      <c r="O95">
        <v>-0.48695652173913045</v>
      </c>
      <c r="P95">
        <v>-0.5263304347826087</v>
      </c>
    </row>
    <row r="96" spans="1:16" x14ac:dyDescent="0.25">
      <c r="A96">
        <v>90</v>
      </c>
      <c r="B96" t="s">
        <v>507</v>
      </c>
      <c r="C96" t="s">
        <v>508</v>
      </c>
      <c r="D96" t="s">
        <v>255</v>
      </c>
      <c r="E96" t="s">
        <v>509</v>
      </c>
      <c r="F96" t="s">
        <v>28</v>
      </c>
      <c r="G96">
        <v>25</v>
      </c>
      <c r="H96">
        <v>4.528</v>
      </c>
      <c r="I96">
        <v>29.528</v>
      </c>
      <c r="J96">
        <v>8</v>
      </c>
      <c r="K96">
        <v>6.5</v>
      </c>
      <c r="L96">
        <v>15</v>
      </c>
      <c r="M96">
        <v>13.5</v>
      </c>
      <c r="N96">
        <v>-10</v>
      </c>
      <c r="O96">
        <v>-0.6666666666666666</v>
      </c>
      <c r="P96">
        <v>-0.9685333333333332</v>
      </c>
    </row>
    <row r="97" spans="1:16" x14ac:dyDescent="0.25">
      <c r="A97">
        <v>91</v>
      </c>
      <c r="B97" t="s">
        <v>510</v>
      </c>
      <c r="C97" t="s">
        <v>511</v>
      </c>
      <c r="D97" t="s">
        <v>255</v>
      </c>
      <c r="E97" t="s">
        <v>512</v>
      </c>
      <c r="F97" t="s">
        <v>28</v>
      </c>
      <c r="G97">
        <v>25</v>
      </c>
      <c r="H97">
        <v>4.528</v>
      </c>
      <c r="I97">
        <v>29.528</v>
      </c>
      <c r="J97">
        <v>8</v>
      </c>
      <c r="K97">
        <v>7</v>
      </c>
      <c r="L97">
        <v>15</v>
      </c>
      <c r="M97">
        <v>13.5</v>
      </c>
      <c r="N97">
        <v>-10</v>
      </c>
      <c r="O97">
        <v>-0.6666666666666666</v>
      </c>
      <c r="P97">
        <v>-0.9685333333333332</v>
      </c>
    </row>
    <row r="98" spans="1:16" x14ac:dyDescent="0.25">
      <c r="A98">
        <v>92</v>
      </c>
      <c r="B98" t="s">
        <v>513</v>
      </c>
      <c r="C98" t="s">
        <v>514</v>
      </c>
      <c r="D98" t="s">
        <v>255</v>
      </c>
      <c r="E98" t="s">
        <v>515</v>
      </c>
      <c r="F98" t="s">
        <v>28</v>
      </c>
      <c r="G98">
        <v>60</v>
      </c>
      <c r="H98">
        <v>4.528</v>
      </c>
      <c r="I98">
        <v>64.528</v>
      </c>
      <c r="J98">
        <v>136</v>
      </c>
      <c r="K98">
        <v>81.5</v>
      </c>
      <c r="L98">
        <v>55</v>
      </c>
      <c r="M98">
        <v>49.5</v>
      </c>
      <c r="N98">
        <v>-5</v>
      </c>
      <c r="O98">
        <v>-0.09090909090909091</v>
      </c>
      <c r="P98">
        <v>-0.17323636363636374</v>
      </c>
    </row>
    <row r="99" spans="1:16" x14ac:dyDescent="0.25">
      <c r="A99">
        <v>93</v>
      </c>
      <c r="B99" t="s">
        <v>516</v>
      </c>
      <c r="C99" t="s">
        <v>517</v>
      </c>
      <c r="D99" t="s">
        <v>255</v>
      </c>
      <c r="E99" t="s">
        <v>518</v>
      </c>
      <c r="F99" t="s">
        <v>28</v>
      </c>
      <c r="G99">
        <v>6</v>
      </c>
      <c r="H99">
        <v>4.528</v>
      </c>
      <c r="I99">
        <v>10.527999999999999</v>
      </c>
      <c r="J99">
        <v>4</v>
      </c>
      <c r="K99">
        <v>2</v>
      </c>
      <c r="L99">
        <v>6</v>
      </c>
      <c r="M99">
        <v>5.4</v>
      </c>
      <c r="N99">
        <v>0</v>
      </c>
      <c r="O99">
        <v>0</v>
      </c>
      <c r="P99">
        <v>-0.7546666666666665</v>
      </c>
    </row>
    <row r="100" spans="1:16" x14ac:dyDescent="0.25">
      <c r="A100">
        <v>94</v>
      </c>
      <c r="B100" t="s">
        <v>519</v>
      </c>
      <c r="C100" t="s">
        <v>520</v>
      </c>
      <c r="D100" t="s">
        <v>255</v>
      </c>
      <c r="E100" t="s">
        <v>521</v>
      </c>
      <c r="F100" t="s">
        <v>28</v>
      </c>
      <c r="G100">
        <v>23</v>
      </c>
      <c r="H100">
        <v>4.528</v>
      </c>
      <c r="I100">
        <v>27.528</v>
      </c>
      <c r="J100">
        <v>57</v>
      </c>
      <c r="K100">
        <v>34</v>
      </c>
      <c r="L100">
        <v>21</v>
      </c>
      <c r="M100">
        <v>18.9</v>
      </c>
      <c r="N100">
        <v>-2</v>
      </c>
      <c r="O100">
        <v>-0.09523809523809523</v>
      </c>
      <c r="P100">
        <v>-0.3108571428571428</v>
      </c>
    </row>
    <row r="101" spans="1:16" x14ac:dyDescent="0.25">
      <c r="A101">
        <v>95</v>
      </c>
      <c r="B101" t="s">
        <v>522</v>
      </c>
      <c r="C101" t="s">
        <v>523</v>
      </c>
      <c r="D101" t="s">
        <v>255</v>
      </c>
      <c r="E101" t="s">
        <v>524</v>
      </c>
      <c r="F101" t="s">
        <v>28</v>
      </c>
      <c r="G101">
        <v>23</v>
      </c>
      <c r="H101">
        <v>4.528</v>
      </c>
      <c r="I101">
        <v>27.528</v>
      </c>
      <c r="J101">
        <v>57</v>
      </c>
      <c r="K101">
        <v>34</v>
      </c>
      <c r="L101">
        <v>21</v>
      </c>
      <c r="M101">
        <v>18.9</v>
      </c>
      <c r="N101">
        <v>-2</v>
      </c>
      <c r="O101">
        <v>-0.09523809523809523</v>
      </c>
      <c r="P101">
        <v>-0.3108571428571428</v>
      </c>
    </row>
    <row r="102" spans="1:16" x14ac:dyDescent="0.25">
      <c r="A102">
        <v>96</v>
      </c>
      <c r="B102" t="s">
        <v>525</v>
      </c>
      <c r="C102" t="s">
        <v>526</v>
      </c>
      <c r="D102" t="s">
        <v>255</v>
      </c>
      <c r="E102" t="s">
        <v>527</v>
      </c>
      <c r="F102" t="s">
        <v>28</v>
      </c>
      <c r="G102">
        <v>18</v>
      </c>
      <c r="H102">
        <v>4.528</v>
      </c>
      <c r="I102">
        <v>22.528</v>
      </c>
      <c r="J102">
        <v>15</v>
      </c>
      <c r="K102">
        <v>9</v>
      </c>
      <c r="L102">
        <v>12</v>
      </c>
      <c r="M102">
        <v>10.8</v>
      </c>
      <c r="N102">
        <v>-6</v>
      </c>
      <c r="O102">
        <v>-0.5</v>
      </c>
      <c r="P102">
        <v>-0.8773333333333332</v>
      </c>
    </row>
    <row r="103" spans="1:16" x14ac:dyDescent="0.25">
      <c r="A103">
        <v>97</v>
      </c>
      <c r="B103" t="s">
        <v>528</v>
      </c>
      <c r="C103" t="s">
        <v>526</v>
      </c>
      <c r="D103" t="s">
        <v>255</v>
      </c>
      <c r="E103" t="s">
        <v>529</v>
      </c>
      <c r="F103" t="s">
        <v>28</v>
      </c>
      <c r="G103">
        <v>18</v>
      </c>
      <c r="H103">
        <v>4.528</v>
      </c>
      <c r="I103">
        <v>22.528</v>
      </c>
      <c r="J103">
        <v>15</v>
      </c>
      <c r="K103">
        <v>9</v>
      </c>
      <c r="L103">
        <v>17</v>
      </c>
      <c r="M103">
        <v>15.3</v>
      </c>
      <c r="N103">
        <v>-1</v>
      </c>
      <c r="O103">
        <v>-0.058823529411764705</v>
      </c>
      <c r="P103">
        <v>-0.32517647058823523</v>
      </c>
    </row>
    <row r="104" spans="1:16" x14ac:dyDescent="0.25">
      <c r="A104">
        <v>98</v>
      </c>
      <c r="B104" t="s">
        <v>530</v>
      </c>
      <c r="C104" t="s">
        <v>526</v>
      </c>
      <c r="D104" t="s">
        <v>255</v>
      </c>
      <c r="E104" t="s">
        <v>531</v>
      </c>
      <c r="F104" t="s">
        <v>28</v>
      </c>
      <c r="G104">
        <v>18</v>
      </c>
      <c r="H104">
        <v>4.528</v>
      </c>
      <c r="I104">
        <v>22.528</v>
      </c>
      <c r="J104">
        <v>15</v>
      </c>
      <c r="K104">
        <v>9</v>
      </c>
      <c r="L104">
        <v>17</v>
      </c>
      <c r="M104">
        <v>15.3</v>
      </c>
      <c r="N104">
        <v>-1</v>
      </c>
      <c r="O104">
        <v>-0.058823529411764705</v>
      </c>
      <c r="P104">
        <v>-0.32517647058823523</v>
      </c>
    </row>
    <row r="105" spans="1:16" x14ac:dyDescent="0.25">
      <c r="A105">
        <v>99</v>
      </c>
      <c r="B105" t="s">
        <v>532</v>
      </c>
      <c r="C105" t="s">
        <v>533</v>
      </c>
      <c r="D105" t="s">
        <v>255</v>
      </c>
      <c r="E105" t="s">
        <v>534</v>
      </c>
      <c r="F105" t="s">
        <v>28</v>
      </c>
      <c r="G105">
        <v>41</v>
      </c>
      <c r="H105">
        <v>4.528</v>
      </c>
      <c r="I105">
        <v>45.528</v>
      </c>
      <c r="J105">
        <v>100</v>
      </c>
      <c r="K105">
        <v>60</v>
      </c>
      <c r="L105">
        <v>38</v>
      </c>
      <c r="M105">
        <v>34.2</v>
      </c>
      <c r="N105">
        <v>-3</v>
      </c>
      <c r="O105">
        <v>-0.07894736842105263</v>
      </c>
      <c r="P105">
        <v>-0.1981052631578947</v>
      </c>
    </row>
    <row r="106" spans="1:16" x14ac:dyDescent="0.25">
      <c r="A106">
        <v>100</v>
      </c>
      <c r="B106" t="s">
        <v>535</v>
      </c>
      <c r="C106" t="s">
        <v>536</v>
      </c>
      <c r="D106" t="s">
        <v>255</v>
      </c>
      <c r="E106" t="s">
        <v>537</v>
      </c>
      <c r="F106" t="s">
        <v>28</v>
      </c>
      <c r="G106">
        <v>27</v>
      </c>
      <c r="H106">
        <v>4.528</v>
      </c>
      <c r="I106">
        <v>31.528</v>
      </c>
      <c r="J106">
        <v>66</v>
      </c>
      <c r="K106">
        <v>39.5</v>
      </c>
      <c r="L106">
        <v>25</v>
      </c>
      <c r="M106">
        <v>22.5</v>
      </c>
      <c r="N106">
        <v>-2</v>
      </c>
      <c r="O106">
        <v>-0.08</v>
      </c>
      <c r="P106">
        <v>-0.26111999999999996</v>
      </c>
    </row>
    <row r="107" spans="1:16" x14ac:dyDescent="0.25">
      <c r="A107">
        <v>101</v>
      </c>
      <c r="B107" t="s">
        <v>538</v>
      </c>
      <c r="C107" t="s">
        <v>539</v>
      </c>
      <c r="D107" t="s">
        <v>255</v>
      </c>
      <c r="E107" t="s">
        <v>540</v>
      </c>
      <c r="F107" t="s">
        <v>28</v>
      </c>
      <c r="G107">
        <v>14</v>
      </c>
      <c r="H107">
        <v>4.528</v>
      </c>
      <c r="I107">
        <v>18.528</v>
      </c>
      <c r="J107">
        <v>36</v>
      </c>
      <c r="K107">
        <v>21.5</v>
      </c>
      <c r="L107">
        <v>13</v>
      </c>
      <c r="M107">
        <v>11.7</v>
      </c>
      <c r="N107">
        <v>-1</v>
      </c>
      <c r="O107">
        <v>-0.07692307692307693</v>
      </c>
      <c r="P107">
        <v>-0.42523076923076913</v>
      </c>
    </row>
    <row r="108" spans="1:16" x14ac:dyDescent="0.25">
      <c r="A108">
        <v>102</v>
      </c>
      <c r="B108" t="s">
        <v>541</v>
      </c>
      <c r="C108" t="s">
        <v>542</v>
      </c>
      <c r="D108" t="s">
        <v>255</v>
      </c>
      <c r="E108" t="s">
        <v>543</v>
      </c>
      <c r="F108" t="s">
        <v>28</v>
      </c>
      <c r="G108">
        <v>56</v>
      </c>
      <c r="H108">
        <v>4.528</v>
      </c>
      <c r="I108">
        <v>60.528</v>
      </c>
      <c r="J108">
        <v>117</v>
      </c>
      <c r="K108">
        <v>70</v>
      </c>
      <c r="L108">
        <v>50</v>
      </c>
      <c r="M108">
        <v>45</v>
      </c>
      <c r="N108">
        <v>-6</v>
      </c>
      <c r="O108">
        <v>-0.12</v>
      </c>
      <c r="P108">
        <v>-0.21055999999999997</v>
      </c>
    </row>
    <row r="109" spans="1:16" x14ac:dyDescent="0.25">
      <c r="A109">
        <v>103</v>
      </c>
      <c r="B109" t="s">
        <v>544</v>
      </c>
      <c r="C109" t="s">
        <v>545</v>
      </c>
      <c r="D109" t="s">
        <v>255</v>
      </c>
      <c r="E109" t="s">
        <v>546</v>
      </c>
      <c r="F109" t="s">
        <v>28</v>
      </c>
      <c r="G109">
        <v>56</v>
      </c>
      <c r="H109">
        <v>4.528</v>
      </c>
      <c r="I109">
        <v>60.528</v>
      </c>
      <c r="J109">
        <v>117</v>
      </c>
      <c r="K109">
        <v>70</v>
      </c>
      <c r="L109">
        <v>50</v>
      </c>
      <c r="M109">
        <v>45</v>
      </c>
      <c r="N109">
        <v>-6</v>
      </c>
      <c r="O109">
        <v>-0.12</v>
      </c>
      <c r="P109">
        <v>-0.21055999999999997</v>
      </c>
    </row>
    <row r="110" spans="1:16" x14ac:dyDescent="0.25">
      <c r="A110">
        <v>104</v>
      </c>
      <c r="B110" t="s">
        <v>547</v>
      </c>
      <c r="C110" t="s">
        <v>548</v>
      </c>
      <c r="D110" t="s">
        <v>255</v>
      </c>
      <c r="E110" t="s">
        <v>549</v>
      </c>
      <c r="F110" t="s">
        <v>28</v>
      </c>
      <c r="G110">
        <v>55</v>
      </c>
      <c r="H110">
        <v>4.528</v>
      </c>
      <c r="I110">
        <v>59.528</v>
      </c>
      <c r="J110">
        <v>122</v>
      </c>
      <c r="K110">
        <v>73</v>
      </c>
      <c r="L110">
        <v>48</v>
      </c>
      <c r="M110">
        <v>43.2</v>
      </c>
      <c r="N110">
        <v>-7</v>
      </c>
      <c r="O110">
        <v>-0.14583333333333334</v>
      </c>
      <c r="P110">
        <v>-0.24016666666666664</v>
      </c>
    </row>
    <row r="111" spans="1:16" x14ac:dyDescent="0.25">
      <c r="A111">
        <v>105</v>
      </c>
      <c r="B111" t="s">
        <v>550</v>
      </c>
      <c r="C111" t="s">
        <v>551</v>
      </c>
      <c r="D111" t="s">
        <v>255</v>
      </c>
      <c r="E111" t="s">
        <v>552</v>
      </c>
      <c r="F111" t="s">
        <v>28</v>
      </c>
      <c r="G111">
        <v>16</v>
      </c>
      <c r="H111">
        <v>4.528</v>
      </c>
      <c r="I111">
        <v>20.528</v>
      </c>
      <c r="J111">
        <v>20</v>
      </c>
      <c r="K111">
        <v>17</v>
      </c>
      <c r="L111">
        <v>12</v>
      </c>
      <c r="M111">
        <v>10.8</v>
      </c>
      <c r="N111">
        <v>-4</v>
      </c>
      <c r="O111">
        <v>-0.3333333333333333</v>
      </c>
      <c r="P111">
        <v>-0.7106666666666666</v>
      </c>
    </row>
    <row r="112" spans="1:16" x14ac:dyDescent="0.25">
      <c r="A112">
        <v>106</v>
      </c>
      <c r="B112" t="s">
        <v>553</v>
      </c>
      <c r="C112" t="s">
        <v>554</v>
      </c>
      <c r="D112" t="s">
        <v>255</v>
      </c>
      <c r="E112" t="s">
        <v>555</v>
      </c>
      <c r="F112" t="s">
        <v>28</v>
      </c>
      <c r="G112">
        <v>13</v>
      </c>
      <c r="H112">
        <v>4.528</v>
      </c>
      <c r="I112">
        <v>17.528</v>
      </c>
      <c r="J112">
        <v>13</v>
      </c>
      <c r="K112">
        <v>11</v>
      </c>
      <c r="L112">
        <v>9</v>
      </c>
      <c r="M112">
        <v>8.1</v>
      </c>
      <c r="N112">
        <v>-4</v>
      </c>
      <c r="O112">
        <v>-0.4444444444444444</v>
      </c>
      <c r="P112">
        <v>-0.9475555555555554</v>
      </c>
    </row>
    <row r="113" spans="1:16" x14ac:dyDescent="0.25">
      <c r="A113">
        <v>107</v>
      </c>
      <c r="B113" t="s">
        <v>556</v>
      </c>
      <c r="C113" t="s">
        <v>557</v>
      </c>
      <c r="D113" t="s">
        <v>255</v>
      </c>
      <c r="E113" t="s">
        <v>558</v>
      </c>
      <c r="F113" t="s">
        <v>28</v>
      </c>
      <c r="G113">
        <v>20</v>
      </c>
      <c r="H113">
        <v>4.528</v>
      </c>
      <c r="I113">
        <v>24.528</v>
      </c>
      <c r="J113">
        <v>50</v>
      </c>
      <c r="K113">
        <v>32.5</v>
      </c>
      <c r="L113">
        <v>19</v>
      </c>
      <c r="M113">
        <v>17.1</v>
      </c>
      <c r="N113">
        <v>-1</v>
      </c>
      <c r="O113">
        <v>-0.05263157894736842</v>
      </c>
      <c r="P113">
        <v>-0.29094736842105257</v>
      </c>
    </row>
    <row r="114" spans="1:16" x14ac:dyDescent="0.25">
      <c r="A114">
        <v>108</v>
      </c>
      <c r="B114" t="s">
        <v>559</v>
      </c>
      <c r="C114" t="s">
        <v>560</v>
      </c>
      <c r="D114" t="s">
        <v>255</v>
      </c>
      <c r="E114" t="s">
        <v>561</v>
      </c>
      <c r="F114" t="s">
        <v>28</v>
      </c>
      <c r="G114">
        <v>3</v>
      </c>
      <c r="H114">
        <v>4.528</v>
      </c>
      <c r="I114">
        <v>7.528</v>
      </c>
      <c r="J114">
        <v>3</v>
      </c>
      <c r="K114">
        <v>2.5</v>
      </c>
      <c r="L114">
        <v>2.8</v>
      </c>
      <c r="M114">
        <v>2.52</v>
      </c>
      <c r="N114">
        <v>-0.20000000000000018</v>
      </c>
      <c r="O114">
        <v>-0.0714285714285715</v>
      </c>
      <c r="P114">
        <v>-1.6885714285714286</v>
      </c>
    </row>
    <row r="115" spans="1:16" x14ac:dyDescent="0.25">
      <c r="A115">
        <v>109</v>
      </c>
      <c r="B115" t="s">
        <v>562</v>
      </c>
      <c r="C115" t="s">
        <v>560</v>
      </c>
      <c r="D115" t="s">
        <v>255</v>
      </c>
      <c r="E115" t="s">
        <v>563</v>
      </c>
      <c r="F115" t="s">
        <v>28</v>
      </c>
      <c r="G115">
        <v>153</v>
      </c>
      <c r="H115">
        <v>4.528</v>
      </c>
      <c r="I115">
        <v>157.528</v>
      </c>
      <c r="J115">
        <v>3</v>
      </c>
      <c r="K115">
        <v>2.5</v>
      </c>
      <c r="L115">
        <v>140</v>
      </c>
      <c r="M115">
        <v>126</v>
      </c>
      <c r="N115">
        <v>-13</v>
      </c>
      <c r="O115">
        <v>-0.09285714285714286</v>
      </c>
      <c r="P115">
        <v>-0.12519999999999995</v>
      </c>
    </row>
    <row r="116" spans="1:16" x14ac:dyDescent="0.25">
      <c r="A116">
        <v>110</v>
      </c>
      <c r="B116" t="s">
        <v>564</v>
      </c>
      <c r="C116" t="s">
        <v>560</v>
      </c>
      <c r="D116" t="s">
        <v>255</v>
      </c>
      <c r="E116" t="s">
        <v>565</v>
      </c>
      <c r="F116" t="s">
        <v>28</v>
      </c>
      <c r="G116">
        <v>153</v>
      </c>
      <c r="H116">
        <v>4.528</v>
      </c>
      <c r="I116">
        <v>157.528</v>
      </c>
      <c r="J116">
        <v>3</v>
      </c>
      <c r="K116">
        <v>2.5</v>
      </c>
      <c r="L116">
        <v>140</v>
      </c>
      <c r="M116">
        <v>126</v>
      </c>
      <c r="N116">
        <v>-13</v>
      </c>
      <c r="O116">
        <v>-0.09285714285714286</v>
      </c>
      <c r="P116">
        <v>-0.12519999999999995</v>
      </c>
    </row>
    <row r="117" spans="1:16" x14ac:dyDescent="0.25">
      <c r="A117">
        <v>111</v>
      </c>
      <c r="B117" t="s">
        <v>566</v>
      </c>
      <c r="C117" t="s">
        <v>567</v>
      </c>
      <c r="D117" t="s">
        <v>255</v>
      </c>
      <c r="E117" t="s">
        <v>568</v>
      </c>
      <c r="F117" t="s">
        <v>28</v>
      </c>
      <c r="G117">
        <v>4</v>
      </c>
      <c r="H117">
        <v>4.528</v>
      </c>
      <c r="I117">
        <v>8.527999999999999</v>
      </c>
      <c r="J117">
        <v>3</v>
      </c>
      <c r="K117">
        <v>2</v>
      </c>
      <c r="L117">
        <v>3.7</v>
      </c>
      <c r="M117">
        <v>3.33</v>
      </c>
      <c r="N117">
        <v>-0.2999999999999998</v>
      </c>
      <c r="O117">
        <v>-0.08108108108108103</v>
      </c>
      <c r="P117">
        <v>-1.3048648648648644</v>
      </c>
    </row>
    <row r="118" spans="1:16" x14ac:dyDescent="0.25">
      <c r="A118">
        <v>112</v>
      </c>
      <c r="B118" t="s">
        <v>569</v>
      </c>
      <c r="C118" t="s">
        <v>570</v>
      </c>
      <c r="D118" t="s">
        <v>255</v>
      </c>
      <c r="E118" t="s">
        <v>571</v>
      </c>
      <c r="F118" t="s">
        <v>28</v>
      </c>
      <c r="G118">
        <v>4</v>
      </c>
      <c r="H118">
        <v>4.528</v>
      </c>
      <c r="I118">
        <v>8.527999999999999</v>
      </c>
      <c r="J118">
        <v>3</v>
      </c>
      <c r="K118">
        <v>2.5</v>
      </c>
      <c r="L118">
        <v>3.7</v>
      </c>
      <c r="M118">
        <v>3.33</v>
      </c>
      <c r="N118">
        <v>-0.2999999999999998</v>
      </c>
      <c r="O118">
        <v>-0.08108108108108103</v>
      </c>
      <c r="P118">
        <v>-1.3048648648648644</v>
      </c>
    </row>
    <row r="119" spans="1:16" x14ac:dyDescent="0.25">
      <c r="A119">
        <v>113</v>
      </c>
      <c r="B119" t="s">
        <v>572</v>
      </c>
      <c r="C119" t="s">
        <v>573</v>
      </c>
      <c r="D119" t="s">
        <v>255</v>
      </c>
      <c r="E119" t="s">
        <v>574</v>
      </c>
      <c r="F119" t="s">
        <v>28</v>
      </c>
      <c r="G119">
        <v>11</v>
      </c>
      <c r="H119">
        <v>4.528</v>
      </c>
      <c r="I119">
        <v>15.527999999999999</v>
      </c>
      <c r="J119">
        <v>8</v>
      </c>
      <c r="K119">
        <v>7.5</v>
      </c>
      <c r="L119">
        <v>7</v>
      </c>
      <c r="M119">
        <v>6.3</v>
      </c>
      <c r="N119">
        <v>-4</v>
      </c>
      <c r="O119">
        <v>-0.5714285714285714</v>
      </c>
      <c r="P119">
        <v>-1.2182857142857142</v>
      </c>
    </row>
    <row r="120" spans="1:16" x14ac:dyDescent="0.25">
      <c r="A120">
        <v>114</v>
      </c>
      <c r="B120" t="s">
        <v>575</v>
      </c>
      <c r="C120" t="s">
        <v>576</v>
      </c>
      <c r="D120" t="s">
        <v>255</v>
      </c>
      <c r="E120" t="s">
        <v>577</v>
      </c>
      <c r="F120" t="s">
        <v>28</v>
      </c>
      <c r="G120">
        <v>36</v>
      </c>
      <c r="H120">
        <v>4.528</v>
      </c>
      <c r="I120">
        <v>40.528</v>
      </c>
      <c r="J120">
        <v>175</v>
      </c>
      <c r="K120">
        <v>0</v>
      </c>
      <c r="L120">
        <v>31</v>
      </c>
      <c r="M120">
        <v>27.9</v>
      </c>
      <c r="N120">
        <v>-5</v>
      </c>
      <c r="O120">
        <v>-0.16129032258064516</v>
      </c>
      <c r="P120">
        <v>-0.3073548387096774</v>
      </c>
    </row>
    <row r="121" spans="1:16" x14ac:dyDescent="0.25">
      <c r="A121">
        <v>115</v>
      </c>
      <c r="B121" t="s">
        <v>578</v>
      </c>
      <c r="C121" t="s">
        <v>579</v>
      </c>
      <c r="D121" t="s">
        <v>255</v>
      </c>
      <c r="E121" t="s">
        <v>580</v>
      </c>
      <c r="F121" t="s">
        <v>28</v>
      </c>
      <c r="G121">
        <v>3</v>
      </c>
      <c r="H121">
        <v>4.528</v>
      </c>
      <c r="I121">
        <v>7.528</v>
      </c>
      <c r="J121">
        <v>3</v>
      </c>
      <c r="K121">
        <v>2</v>
      </c>
      <c r="L121">
        <v>2.8</v>
      </c>
      <c r="M121">
        <v>2.52</v>
      </c>
      <c r="N121">
        <v>-0.20000000000000018</v>
      </c>
      <c r="O121">
        <v>-0.0714285714285715</v>
      </c>
      <c r="P121">
        <v>-1.6885714285714286</v>
      </c>
    </row>
    <row r="122" spans="1:16" x14ac:dyDescent="0.25">
      <c r="A122">
        <v>116</v>
      </c>
      <c r="B122" t="s">
        <v>581</v>
      </c>
      <c r="C122" t="s">
        <v>579</v>
      </c>
      <c r="D122" t="s">
        <v>255</v>
      </c>
      <c r="E122" t="s">
        <v>582</v>
      </c>
      <c r="F122" t="s">
        <v>28</v>
      </c>
      <c r="G122">
        <v>3</v>
      </c>
      <c r="H122">
        <v>4.528</v>
      </c>
      <c r="I122">
        <v>7.528</v>
      </c>
      <c r="J122">
        <v>3</v>
      </c>
      <c r="K122">
        <v>2</v>
      </c>
      <c r="L122">
        <v>2.8</v>
      </c>
      <c r="M122">
        <v>2.52</v>
      </c>
      <c r="N122">
        <v>-0.20000000000000018</v>
      </c>
      <c r="O122">
        <v>-0.0714285714285715</v>
      </c>
      <c r="P122">
        <v>-1.6885714285714286</v>
      </c>
    </row>
    <row r="123" spans="1:16" x14ac:dyDescent="0.25">
      <c r="A123">
        <v>117</v>
      </c>
      <c r="B123" t="s">
        <v>583</v>
      </c>
      <c r="C123" t="s">
        <v>579</v>
      </c>
      <c r="D123" t="s">
        <v>255</v>
      </c>
      <c r="E123" t="s">
        <v>584</v>
      </c>
      <c r="F123" t="s">
        <v>28</v>
      </c>
      <c r="G123">
        <v>3</v>
      </c>
      <c r="H123">
        <v>4.528</v>
      </c>
      <c r="I123">
        <v>7.528</v>
      </c>
      <c r="J123">
        <v>3</v>
      </c>
      <c r="K123">
        <v>2</v>
      </c>
      <c r="L123">
        <v>2.8</v>
      </c>
      <c r="M123">
        <v>2.52</v>
      </c>
      <c r="N123">
        <v>-0.20000000000000018</v>
      </c>
      <c r="O123">
        <v>-0.0714285714285715</v>
      </c>
      <c r="P123">
        <v>-1.6885714285714286</v>
      </c>
    </row>
    <row r="124" spans="1:16" x14ac:dyDescent="0.25">
      <c r="A124">
        <v>118</v>
      </c>
      <c r="B124" t="s">
        <v>585</v>
      </c>
      <c r="C124" t="s">
        <v>579</v>
      </c>
      <c r="D124" t="s">
        <v>255</v>
      </c>
      <c r="E124" t="s">
        <v>586</v>
      </c>
      <c r="F124" t="s">
        <v>28</v>
      </c>
      <c r="G124">
        <v>3</v>
      </c>
      <c r="H124">
        <v>4.528</v>
      </c>
      <c r="I124">
        <v>7.528</v>
      </c>
      <c r="J124">
        <v>3</v>
      </c>
      <c r="K124">
        <v>2</v>
      </c>
      <c r="L124">
        <v>2.8</v>
      </c>
      <c r="M124">
        <v>2.52</v>
      </c>
      <c r="N124">
        <v>-0.20000000000000018</v>
      </c>
      <c r="O124">
        <v>-0.0714285714285715</v>
      </c>
      <c r="P124">
        <v>-1.6885714285714286</v>
      </c>
    </row>
    <row r="125" spans="1:16" x14ac:dyDescent="0.25">
      <c r="A125">
        <v>119</v>
      </c>
      <c r="B125" t="s">
        <v>587</v>
      </c>
      <c r="C125" t="s">
        <v>579</v>
      </c>
      <c r="D125" t="s">
        <v>255</v>
      </c>
      <c r="E125" t="s">
        <v>588</v>
      </c>
      <c r="F125" t="s">
        <v>28</v>
      </c>
      <c r="G125">
        <v>3</v>
      </c>
      <c r="H125">
        <v>4.528</v>
      </c>
      <c r="I125">
        <v>7.528</v>
      </c>
      <c r="J125">
        <v>3</v>
      </c>
      <c r="K125">
        <v>2</v>
      </c>
      <c r="L125">
        <v>2.8</v>
      </c>
      <c r="M125">
        <v>2.52</v>
      </c>
      <c r="N125">
        <v>-0.20000000000000018</v>
      </c>
      <c r="O125">
        <v>-0.0714285714285715</v>
      </c>
      <c r="P125">
        <v>-1.6885714285714286</v>
      </c>
    </row>
    <row r="126" spans="1:16" x14ac:dyDescent="0.25">
      <c r="A126">
        <v>120</v>
      </c>
      <c r="B126" t="s">
        <v>589</v>
      </c>
      <c r="C126" t="s">
        <v>579</v>
      </c>
      <c r="D126" t="s">
        <v>255</v>
      </c>
      <c r="E126" t="s">
        <v>590</v>
      </c>
      <c r="F126" t="s">
        <v>28</v>
      </c>
      <c r="G126">
        <v>3</v>
      </c>
      <c r="H126">
        <v>4.528</v>
      </c>
      <c r="I126">
        <v>7.528</v>
      </c>
      <c r="J126">
        <v>3</v>
      </c>
      <c r="K126">
        <v>2</v>
      </c>
      <c r="L126">
        <v>2.8</v>
      </c>
      <c r="M126">
        <v>2.52</v>
      </c>
      <c r="N126">
        <v>-0.20000000000000018</v>
      </c>
      <c r="O126">
        <v>-0.0714285714285715</v>
      </c>
      <c r="P126">
        <v>-1.6885714285714286</v>
      </c>
    </row>
    <row r="127" spans="1:16" x14ac:dyDescent="0.25">
      <c r="A127">
        <v>121</v>
      </c>
      <c r="B127" t="s">
        <v>591</v>
      </c>
      <c r="C127" t="s">
        <v>579</v>
      </c>
      <c r="D127" t="s">
        <v>255</v>
      </c>
      <c r="E127" t="s">
        <v>592</v>
      </c>
      <c r="F127" t="s">
        <v>28</v>
      </c>
      <c r="G127">
        <v>3</v>
      </c>
      <c r="H127">
        <v>4.528</v>
      </c>
      <c r="I127">
        <v>7.528</v>
      </c>
      <c r="J127">
        <v>3</v>
      </c>
      <c r="K127">
        <v>2</v>
      </c>
      <c r="L127">
        <v>2.8</v>
      </c>
      <c r="M127">
        <v>2.52</v>
      </c>
      <c r="N127">
        <v>-0.20000000000000018</v>
      </c>
      <c r="O127">
        <v>-0.0714285714285715</v>
      </c>
      <c r="P127">
        <v>-1.6885714285714286</v>
      </c>
    </row>
    <row r="128" spans="1:16" x14ac:dyDescent="0.25">
      <c r="A128">
        <v>122</v>
      </c>
      <c r="B128" t="s">
        <v>593</v>
      </c>
      <c r="C128" t="s">
        <v>579</v>
      </c>
      <c r="D128" t="s">
        <v>255</v>
      </c>
      <c r="E128" t="s">
        <v>594</v>
      </c>
      <c r="F128" t="s">
        <v>28</v>
      </c>
      <c r="G128">
        <v>3</v>
      </c>
      <c r="H128">
        <v>4.528</v>
      </c>
      <c r="I128">
        <v>7.528</v>
      </c>
      <c r="J128">
        <v>3</v>
      </c>
      <c r="K128">
        <v>2</v>
      </c>
      <c r="L128">
        <v>2.8</v>
      </c>
      <c r="M128">
        <v>2.52</v>
      </c>
      <c r="N128">
        <v>-0.20000000000000018</v>
      </c>
      <c r="O128">
        <v>-0.0714285714285715</v>
      </c>
      <c r="P128">
        <v>-1.6885714285714286</v>
      </c>
    </row>
    <row r="129" spans="1:16" x14ac:dyDescent="0.25">
      <c r="A129">
        <v>123</v>
      </c>
      <c r="B129" t="s">
        <v>595</v>
      </c>
      <c r="C129" t="s">
        <v>579</v>
      </c>
      <c r="D129" t="s">
        <v>255</v>
      </c>
      <c r="E129" t="s">
        <v>596</v>
      </c>
      <c r="F129" t="s">
        <v>28</v>
      </c>
      <c r="G129">
        <v>3</v>
      </c>
      <c r="H129">
        <v>4.528</v>
      </c>
      <c r="I129">
        <v>7.528</v>
      </c>
      <c r="J129">
        <v>3</v>
      </c>
      <c r="K129">
        <v>2</v>
      </c>
      <c r="L129">
        <v>2.8</v>
      </c>
      <c r="M129">
        <v>2.52</v>
      </c>
      <c r="N129">
        <v>-0.20000000000000018</v>
      </c>
      <c r="O129">
        <v>-0.0714285714285715</v>
      </c>
      <c r="P129">
        <v>-1.6885714285714286</v>
      </c>
    </row>
    <row r="130" spans="1:16" x14ac:dyDescent="0.25">
      <c r="A130">
        <v>124</v>
      </c>
      <c r="B130" t="s">
        <v>597</v>
      </c>
      <c r="C130" t="s">
        <v>579</v>
      </c>
      <c r="D130" t="s">
        <v>255</v>
      </c>
      <c r="E130" t="s">
        <v>598</v>
      </c>
      <c r="F130" t="s">
        <v>28</v>
      </c>
      <c r="G130">
        <v>3</v>
      </c>
      <c r="H130">
        <v>4.528</v>
      </c>
      <c r="I130">
        <v>7.528</v>
      </c>
      <c r="J130">
        <v>3</v>
      </c>
      <c r="K130">
        <v>2</v>
      </c>
      <c r="L130">
        <v>2.8</v>
      </c>
      <c r="M130">
        <v>2.52</v>
      </c>
      <c r="N130">
        <v>-0.20000000000000018</v>
      </c>
      <c r="O130">
        <v>-0.0714285714285715</v>
      </c>
      <c r="P130">
        <v>-1.6885714285714286</v>
      </c>
    </row>
    <row r="131" spans="1:16" x14ac:dyDescent="0.25">
      <c r="A131">
        <v>125</v>
      </c>
      <c r="B131" t="s">
        <v>599</v>
      </c>
      <c r="C131" t="s">
        <v>579</v>
      </c>
      <c r="D131" t="s">
        <v>255</v>
      </c>
      <c r="E131" t="s">
        <v>600</v>
      </c>
      <c r="F131" t="s">
        <v>28</v>
      </c>
      <c r="G131">
        <v>3</v>
      </c>
      <c r="H131">
        <v>4.528</v>
      </c>
      <c r="I131">
        <v>7.528</v>
      </c>
      <c r="J131">
        <v>3</v>
      </c>
      <c r="K131">
        <v>2</v>
      </c>
      <c r="L131">
        <v>2.8</v>
      </c>
      <c r="M131">
        <v>2.52</v>
      </c>
      <c r="N131">
        <v>-0.20000000000000018</v>
      </c>
      <c r="O131">
        <v>-0.0714285714285715</v>
      </c>
      <c r="P131">
        <v>-1.6885714285714286</v>
      </c>
    </row>
    <row r="132" spans="1:16" x14ac:dyDescent="0.25">
      <c r="A132">
        <v>126</v>
      </c>
      <c r="B132" t="s">
        <v>601</v>
      </c>
      <c r="C132" t="s">
        <v>579</v>
      </c>
      <c r="D132" t="s">
        <v>255</v>
      </c>
      <c r="E132" t="s">
        <v>602</v>
      </c>
      <c r="F132" t="s">
        <v>28</v>
      </c>
      <c r="G132">
        <v>3</v>
      </c>
      <c r="H132">
        <v>4.528</v>
      </c>
      <c r="I132">
        <v>7.528</v>
      </c>
      <c r="J132">
        <v>3</v>
      </c>
      <c r="K132">
        <v>2</v>
      </c>
      <c r="L132">
        <v>2.8</v>
      </c>
      <c r="M132">
        <v>2.52</v>
      </c>
      <c r="N132">
        <v>-0.20000000000000018</v>
      </c>
      <c r="O132">
        <v>-0.0714285714285715</v>
      </c>
      <c r="P132">
        <v>-1.6885714285714286</v>
      </c>
    </row>
    <row r="133" spans="1:16" x14ac:dyDescent="0.25">
      <c r="A133">
        <v>127</v>
      </c>
      <c r="B133" t="s">
        <v>603</v>
      </c>
      <c r="C133" t="s">
        <v>604</v>
      </c>
      <c r="D133" t="s">
        <v>255</v>
      </c>
      <c r="E133" t="s">
        <v>605</v>
      </c>
      <c r="F133" t="s">
        <v>28</v>
      </c>
      <c r="G133">
        <v>42</v>
      </c>
      <c r="H133">
        <v>4.528</v>
      </c>
      <c r="I133">
        <v>46.528</v>
      </c>
      <c r="J133">
        <v>105</v>
      </c>
      <c r="K133">
        <v>63</v>
      </c>
      <c r="L133">
        <v>39</v>
      </c>
      <c r="M133">
        <v>35.1</v>
      </c>
      <c r="N133">
        <v>-3</v>
      </c>
      <c r="O133">
        <v>-0.07692307692307693</v>
      </c>
      <c r="P133">
        <v>-0.193025641025641</v>
      </c>
    </row>
    <row r="134" spans="1:16" x14ac:dyDescent="0.25">
      <c r="A134">
        <v>128</v>
      </c>
      <c r="B134" t="s">
        <v>606</v>
      </c>
      <c r="C134" t="s">
        <v>607</v>
      </c>
      <c r="D134" t="s">
        <v>255</v>
      </c>
      <c r="E134" t="s">
        <v>608</v>
      </c>
      <c r="F134" t="s">
        <v>28</v>
      </c>
      <c r="G134">
        <v>4</v>
      </c>
      <c r="H134">
        <v>4.528</v>
      </c>
      <c r="I134">
        <v>8.527999999999999</v>
      </c>
      <c r="J134">
        <v>2</v>
      </c>
      <c r="K134">
        <v>1.5</v>
      </c>
      <c r="L134">
        <v>3.7</v>
      </c>
      <c r="M134">
        <v>3.33</v>
      </c>
      <c r="N134">
        <v>-0.2999999999999998</v>
      </c>
      <c r="O134">
        <v>-0.08108108108108103</v>
      </c>
      <c r="P134">
        <v>-1.3048648648648644</v>
      </c>
    </row>
    <row r="135" spans="1:16" x14ac:dyDescent="0.25">
      <c r="A135">
        <v>129</v>
      </c>
      <c r="B135" t="s">
        <v>609</v>
      </c>
      <c r="C135" t="s">
        <v>610</v>
      </c>
      <c r="D135" t="s">
        <v>255</v>
      </c>
      <c r="E135" t="s">
        <v>611</v>
      </c>
      <c r="F135" t="s">
        <v>28</v>
      </c>
      <c r="G135">
        <v>6</v>
      </c>
      <c r="H135">
        <v>4.528</v>
      </c>
      <c r="I135">
        <v>10.527999999999999</v>
      </c>
      <c r="J135">
        <v>16</v>
      </c>
      <c r="K135">
        <v>10.5</v>
      </c>
      <c r="L135">
        <v>6</v>
      </c>
      <c r="M135">
        <v>5.4</v>
      </c>
      <c r="N135">
        <v>0</v>
      </c>
      <c r="O135">
        <v>0</v>
      </c>
      <c r="P135">
        <v>-0.7546666666666665</v>
      </c>
    </row>
    <row r="136" spans="1:16" x14ac:dyDescent="0.25">
      <c r="A136">
        <v>130</v>
      </c>
      <c r="B136" t="s">
        <v>612</v>
      </c>
      <c r="C136" t="s">
        <v>610</v>
      </c>
      <c r="D136" t="s">
        <v>255</v>
      </c>
      <c r="E136" t="s">
        <v>613</v>
      </c>
      <c r="F136" t="s">
        <v>28</v>
      </c>
      <c r="G136">
        <v>7</v>
      </c>
      <c r="H136">
        <v>4.528</v>
      </c>
      <c r="I136">
        <v>11.527999999999999</v>
      </c>
      <c r="J136">
        <v>16</v>
      </c>
      <c r="K136">
        <v>10.5</v>
      </c>
      <c r="L136">
        <v>7</v>
      </c>
      <c r="M136">
        <v>6.3</v>
      </c>
      <c r="N136">
        <v>0</v>
      </c>
      <c r="O136">
        <v>0</v>
      </c>
      <c r="P136">
        <v>-0.6468571428571427</v>
      </c>
    </row>
    <row r="137" spans="1:16" x14ac:dyDescent="0.25">
      <c r="A137">
        <v>131</v>
      </c>
      <c r="B137" t="s">
        <v>614</v>
      </c>
      <c r="C137" t="s">
        <v>615</v>
      </c>
      <c r="D137" t="s">
        <v>255</v>
      </c>
      <c r="E137" t="s">
        <v>616</v>
      </c>
      <c r="F137" t="s">
        <v>28</v>
      </c>
      <c r="G137">
        <v>11</v>
      </c>
      <c r="H137">
        <v>4.528</v>
      </c>
      <c r="I137">
        <v>15.527999999999999</v>
      </c>
      <c r="J137">
        <v>4</v>
      </c>
      <c r="K137">
        <v>2</v>
      </c>
      <c r="L137">
        <v>8</v>
      </c>
      <c r="M137">
        <v>7.2</v>
      </c>
      <c r="N137">
        <v>-3</v>
      </c>
      <c r="O137">
        <v>-0.375</v>
      </c>
      <c r="P137">
        <v>-0.9409999999999998</v>
      </c>
    </row>
    <row r="138" spans="1:16" x14ac:dyDescent="0.25">
      <c r="A138">
        <v>132</v>
      </c>
      <c r="B138" t="s">
        <v>617</v>
      </c>
      <c r="C138" t="s">
        <v>618</v>
      </c>
      <c r="D138" t="s">
        <v>255</v>
      </c>
      <c r="E138" t="s">
        <v>619</v>
      </c>
      <c r="F138" t="s">
        <v>28</v>
      </c>
      <c r="G138">
        <v>5</v>
      </c>
      <c r="H138">
        <v>4.528</v>
      </c>
      <c r="I138">
        <v>9.527999999999999</v>
      </c>
      <c r="J138">
        <v>3</v>
      </c>
      <c r="K138">
        <v>2</v>
      </c>
      <c r="L138">
        <v>4.7</v>
      </c>
      <c r="M138">
        <v>4.23</v>
      </c>
      <c r="N138">
        <v>-0.2999999999999998</v>
      </c>
      <c r="O138">
        <v>-0.0638297872340425</v>
      </c>
      <c r="P138">
        <v>-1.0272340425531912</v>
      </c>
    </row>
    <row r="139" spans="1:16" x14ac:dyDescent="0.25">
      <c r="A139">
        <v>133</v>
      </c>
      <c r="B139" t="s">
        <v>620</v>
      </c>
      <c r="C139" t="s">
        <v>621</v>
      </c>
      <c r="D139" t="s">
        <v>255</v>
      </c>
      <c r="E139" t="s">
        <v>622</v>
      </c>
      <c r="F139" t="s">
        <v>28</v>
      </c>
      <c r="G139">
        <v>14</v>
      </c>
      <c r="H139">
        <v>4.528</v>
      </c>
      <c r="I139">
        <v>18.528</v>
      </c>
      <c r="J139">
        <v>11</v>
      </c>
      <c r="K139">
        <v>7.5</v>
      </c>
      <c r="L139">
        <v>8</v>
      </c>
      <c r="M139">
        <v>7.2</v>
      </c>
      <c r="N139">
        <v>-6</v>
      </c>
      <c r="O139">
        <v>-0.75</v>
      </c>
      <c r="P139">
        <v>-1.3159999999999998</v>
      </c>
    </row>
    <row r="140" spans="1:16" x14ac:dyDescent="0.25">
      <c r="A140">
        <v>134</v>
      </c>
      <c r="B140" t="s">
        <v>623</v>
      </c>
      <c r="C140" t="s">
        <v>624</v>
      </c>
      <c r="D140" t="s">
        <v>255</v>
      </c>
      <c r="E140" t="s">
        <v>625</v>
      </c>
      <c r="F140" t="s">
        <v>28</v>
      </c>
      <c r="G140">
        <v>8</v>
      </c>
      <c r="H140">
        <v>4.528</v>
      </c>
      <c r="I140">
        <v>12.527999999999999</v>
      </c>
      <c r="J140">
        <v>8</v>
      </c>
      <c r="K140">
        <v>7.5</v>
      </c>
      <c r="L140">
        <v>7</v>
      </c>
      <c r="M140">
        <v>6.3</v>
      </c>
      <c r="N140">
        <v>-1</v>
      </c>
      <c r="O140">
        <v>-0.14285714285714285</v>
      </c>
      <c r="P140">
        <v>-0.7897142857142855</v>
      </c>
    </row>
    <row r="141" spans="1:16" x14ac:dyDescent="0.25">
      <c r="A141">
        <v>135</v>
      </c>
      <c r="B141" t="s">
        <v>626</v>
      </c>
      <c r="C141" t="s">
        <v>627</v>
      </c>
      <c r="D141" t="s">
        <v>255</v>
      </c>
      <c r="E141" t="s">
        <v>628</v>
      </c>
      <c r="F141" t="s">
        <v>28</v>
      </c>
      <c r="G141">
        <v>22</v>
      </c>
      <c r="H141">
        <v>4.528</v>
      </c>
      <c r="I141">
        <v>26.528</v>
      </c>
      <c r="J141">
        <v>15</v>
      </c>
      <c r="K141">
        <v>11.5</v>
      </c>
      <c r="L141">
        <v>15</v>
      </c>
      <c r="M141">
        <v>13.5</v>
      </c>
      <c r="N141">
        <v>-7</v>
      </c>
      <c r="O141">
        <v>-0.4666666666666667</v>
      </c>
      <c r="P141">
        <v>-0.7685333333333333</v>
      </c>
    </row>
    <row r="142" spans="1:16" x14ac:dyDescent="0.25">
      <c r="A142">
        <v>136</v>
      </c>
      <c r="B142" t="s">
        <v>629</v>
      </c>
      <c r="C142" t="s">
        <v>630</v>
      </c>
      <c r="D142" t="s">
        <v>255</v>
      </c>
      <c r="E142" t="s">
        <v>631</v>
      </c>
      <c r="F142" t="s">
        <v>28</v>
      </c>
      <c r="G142">
        <v>12</v>
      </c>
      <c r="H142">
        <v>4.528</v>
      </c>
      <c r="I142">
        <v>16.528</v>
      </c>
      <c r="J142">
        <v>5</v>
      </c>
      <c r="K142">
        <v>4.5</v>
      </c>
      <c r="L142">
        <v>7</v>
      </c>
      <c r="M142">
        <v>6.3</v>
      </c>
      <c r="N142">
        <v>-5</v>
      </c>
      <c r="O142">
        <v>-0.7142857142857143</v>
      </c>
      <c r="P142">
        <v>-1.361142857142857</v>
      </c>
    </row>
    <row r="143" spans="1:16" x14ac:dyDescent="0.25">
      <c r="A143">
        <v>137</v>
      </c>
      <c r="B143" t="s">
        <v>632</v>
      </c>
      <c r="C143" t="s">
        <v>633</v>
      </c>
      <c r="D143" t="s">
        <v>255</v>
      </c>
      <c r="E143" t="s">
        <v>634</v>
      </c>
      <c r="F143" t="s">
        <v>28</v>
      </c>
      <c r="G143">
        <v>99</v>
      </c>
      <c r="H143">
        <v>4.528</v>
      </c>
      <c r="I143">
        <v>103.528</v>
      </c>
      <c r="J143">
        <v>412</v>
      </c>
      <c r="K143">
        <v>247</v>
      </c>
      <c r="L143">
        <v>90</v>
      </c>
      <c r="M143">
        <v>81</v>
      </c>
      <c r="N143">
        <v>-9</v>
      </c>
      <c r="O143">
        <v>-0.1</v>
      </c>
      <c r="P143">
        <v>-0.15031111111111117</v>
      </c>
    </row>
    <row r="144" spans="1:16" x14ac:dyDescent="0.25">
      <c r="A144">
        <v>138</v>
      </c>
      <c r="B144" t="s">
        <v>635</v>
      </c>
      <c r="C144" t="s">
        <v>636</v>
      </c>
      <c r="D144" t="s">
        <v>255</v>
      </c>
      <c r="E144" t="s">
        <v>637</v>
      </c>
      <c r="F144" t="s">
        <v>28</v>
      </c>
      <c r="G144">
        <v>74</v>
      </c>
      <c r="H144">
        <v>4.528</v>
      </c>
      <c r="I144">
        <v>78.528</v>
      </c>
      <c r="J144">
        <v>80</v>
      </c>
      <c r="K144">
        <v>48</v>
      </c>
      <c r="L144">
        <v>50</v>
      </c>
      <c r="M144">
        <v>45</v>
      </c>
      <c r="N144">
        <v>-24</v>
      </c>
      <c r="O144">
        <v>-0.48</v>
      </c>
      <c r="P144">
        <v>-0.5705600000000001</v>
      </c>
    </row>
    <row r="145" spans="1:16" x14ac:dyDescent="0.25">
      <c r="A145">
        <v>139</v>
      </c>
      <c r="B145" t="s">
        <v>638</v>
      </c>
      <c r="C145" t="s">
        <v>639</v>
      </c>
      <c r="D145" t="s">
        <v>255</v>
      </c>
      <c r="E145" t="s">
        <v>640</v>
      </c>
      <c r="F145" t="s">
        <v>28</v>
      </c>
      <c r="G145">
        <v>85</v>
      </c>
      <c r="H145">
        <v>4.528</v>
      </c>
      <c r="I145">
        <v>89.528</v>
      </c>
      <c r="J145">
        <v>0</v>
      </c>
      <c r="K145">
        <v>0</v>
      </c>
      <c r="L145">
        <v>80</v>
      </c>
      <c r="M145">
        <v>72</v>
      </c>
      <c r="N145">
        <v>-5</v>
      </c>
      <c r="O145">
        <v>-0.0625</v>
      </c>
      <c r="P145">
        <v>-0.11910000000000007</v>
      </c>
    </row>
    <row r="146" spans="1:16" x14ac:dyDescent="0.25">
      <c r="A146">
        <v>140</v>
      </c>
      <c r="B146" t="s">
        <v>641</v>
      </c>
      <c r="C146" t="s">
        <v>456</v>
      </c>
      <c r="D146" t="s">
        <v>255</v>
      </c>
      <c r="E146" t="s">
        <v>642</v>
      </c>
      <c r="F146" t="s">
        <v>28</v>
      </c>
      <c r="G146">
        <v>6</v>
      </c>
      <c r="H146">
        <v>4.528</v>
      </c>
      <c r="I146">
        <v>10.527999999999999</v>
      </c>
      <c r="J146">
        <v>14</v>
      </c>
      <c r="K146">
        <v>9</v>
      </c>
      <c r="L146">
        <v>6</v>
      </c>
      <c r="M146">
        <v>5.4</v>
      </c>
      <c r="N146">
        <v>0</v>
      </c>
      <c r="O146">
        <v>0</v>
      </c>
      <c r="P146">
        <v>-0.7546666666666665</v>
      </c>
    </row>
    <row r="147" spans="1:16" x14ac:dyDescent="0.25">
      <c r="A147">
        <v>141</v>
      </c>
      <c r="B147" t="s">
        <v>643</v>
      </c>
      <c r="C147" t="s">
        <v>456</v>
      </c>
      <c r="D147" t="s">
        <v>255</v>
      </c>
      <c r="E147" t="s">
        <v>644</v>
      </c>
      <c r="F147" t="s">
        <v>28</v>
      </c>
      <c r="G147">
        <v>7</v>
      </c>
      <c r="H147">
        <v>4.528</v>
      </c>
      <c r="I147">
        <v>11.527999999999999</v>
      </c>
      <c r="J147">
        <v>14</v>
      </c>
      <c r="K147">
        <v>9</v>
      </c>
      <c r="L147">
        <v>7</v>
      </c>
      <c r="M147">
        <v>6.3</v>
      </c>
      <c r="N147">
        <v>0</v>
      </c>
      <c r="O147">
        <v>0</v>
      </c>
      <c r="P147">
        <v>-0.6468571428571427</v>
      </c>
    </row>
    <row r="148" spans="1:16" x14ac:dyDescent="0.25">
      <c r="A148">
        <v>142</v>
      </c>
      <c r="B148" t="s">
        <v>645</v>
      </c>
      <c r="C148" t="s">
        <v>548</v>
      </c>
      <c r="D148" t="s">
        <v>255</v>
      </c>
      <c r="E148" t="s">
        <v>646</v>
      </c>
      <c r="F148" t="s">
        <v>28</v>
      </c>
      <c r="G148">
        <v>9</v>
      </c>
      <c r="H148">
        <v>4.528</v>
      </c>
      <c r="I148">
        <v>13.527999999999999</v>
      </c>
      <c r="J148">
        <v>122</v>
      </c>
      <c r="K148">
        <v>73</v>
      </c>
      <c r="L148">
        <v>8</v>
      </c>
      <c r="M148">
        <v>7.2</v>
      </c>
      <c r="N148">
        <v>-1</v>
      </c>
      <c r="O148">
        <v>-0.125</v>
      </c>
      <c r="P148">
        <v>-0.6909999999999998</v>
      </c>
    </row>
    <row r="149" spans="1:16" x14ac:dyDescent="0.25">
      <c r="A149">
        <v>143</v>
      </c>
      <c r="B149" t="s">
        <v>647</v>
      </c>
      <c r="C149" t="s">
        <v>353</v>
      </c>
      <c r="D149" t="s">
        <v>255</v>
      </c>
      <c r="E149" t="s">
        <v>648</v>
      </c>
      <c r="F149" t="s">
        <v>28</v>
      </c>
      <c r="G149">
        <v>9</v>
      </c>
      <c r="H149">
        <v>4.528</v>
      </c>
      <c r="I149">
        <v>13.527999999999999</v>
      </c>
      <c r="J149">
        <v>24</v>
      </c>
      <c r="K149">
        <v>19</v>
      </c>
      <c r="L149">
        <v>8</v>
      </c>
      <c r="M149">
        <v>7.2</v>
      </c>
      <c r="N149">
        <v>-1</v>
      </c>
      <c r="O149">
        <v>-0.125</v>
      </c>
      <c r="P149">
        <v>-0.6909999999999998</v>
      </c>
    </row>
    <row r="150" spans="1:16" x14ac:dyDescent="0.25">
      <c r="A150">
        <v>144</v>
      </c>
      <c r="B150" t="s">
        <v>649</v>
      </c>
      <c r="C150" t="s">
        <v>650</v>
      </c>
      <c r="D150" t="s">
        <v>255</v>
      </c>
      <c r="E150" t="s">
        <v>651</v>
      </c>
      <c r="F150" t="s">
        <v>28</v>
      </c>
      <c r="G150">
        <v>67</v>
      </c>
      <c r="H150">
        <v>4.528</v>
      </c>
      <c r="I150">
        <v>71.528</v>
      </c>
      <c r="J150">
        <v>160</v>
      </c>
      <c r="K150">
        <v>96</v>
      </c>
      <c r="L150">
        <v>60</v>
      </c>
      <c r="M150">
        <v>54</v>
      </c>
      <c r="N150">
        <v>-7</v>
      </c>
      <c r="O150">
        <v>-0.11666666666666667</v>
      </c>
      <c r="P150">
        <v>-0.19213333333333343</v>
      </c>
    </row>
    <row r="151" spans="1:16" x14ac:dyDescent="0.25">
      <c r="A151">
        <v>145</v>
      </c>
      <c r="B151" t="s">
        <v>652</v>
      </c>
      <c r="C151" t="s">
        <v>653</v>
      </c>
      <c r="D151" t="s">
        <v>255</v>
      </c>
      <c r="E151" t="s">
        <v>654</v>
      </c>
      <c r="F151" t="s">
        <v>28</v>
      </c>
      <c r="G151">
        <v>23</v>
      </c>
      <c r="H151">
        <v>4.528</v>
      </c>
      <c r="I151">
        <v>27.528</v>
      </c>
      <c r="J151">
        <v>25</v>
      </c>
      <c r="K151">
        <v>15</v>
      </c>
      <c r="L151">
        <v>19</v>
      </c>
      <c r="M151">
        <v>17.1</v>
      </c>
      <c r="N151">
        <v>-4</v>
      </c>
      <c r="O151">
        <v>-0.21052631578947367</v>
      </c>
      <c r="P151">
        <v>-0.4488421052631578</v>
      </c>
    </row>
    <row r="152" spans="1:16" x14ac:dyDescent="0.25">
      <c r="A152">
        <v>146</v>
      </c>
      <c r="B152" t="s">
        <v>655</v>
      </c>
      <c r="C152" t="s">
        <v>656</v>
      </c>
      <c r="D152" t="s">
        <v>255</v>
      </c>
      <c r="E152" t="s">
        <v>657</v>
      </c>
      <c r="F152" t="s">
        <v>28</v>
      </c>
      <c r="G152">
        <v>18</v>
      </c>
      <c r="H152">
        <v>4.528</v>
      </c>
      <c r="I152">
        <v>22.528</v>
      </c>
      <c r="J152">
        <v>32</v>
      </c>
      <c r="K152">
        <v>19</v>
      </c>
      <c r="L152">
        <v>15</v>
      </c>
      <c r="M152">
        <v>13.5</v>
      </c>
      <c r="N152">
        <v>-3</v>
      </c>
      <c r="O152">
        <v>-0.2</v>
      </c>
      <c r="P152">
        <v>-0.5018666666666666</v>
      </c>
    </row>
    <row r="153" spans="1:16" x14ac:dyDescent="0.25">
      <c r="A153">
        <v>147</v>
      </c>
      <c r="B153" t="s">
        <v>658</v>
      </c>
      <c r="C153" t="s">
        <v>659</v>
      </c>
      <c r="D153" t="s">
        <v>255</v>
      </c>
      <c r="E153" t="s">
        <v>660</v>
      </c>
      <c r="F153" t="s">
        <v>28</v>
      </c>
      <c r="G153">
        <v>25</v>
      </c>
      <c r="H153">
        <v>4.528</v>
      </c>
      <c r="I153">
        <v>29.528</v>
      </c>
      <c r="J153">
        <v>24</v>
      </c>
      <c r="K153">
        <v>18</v>
      </c>
      <c r="L153">
        <v>18</v>
      </c>
      <c r="M153">
        <v>16.2</v>
      </c>
      <c r="N153">
        <v>-7</v>
      </c>
      <c r="O153">
        <v>-0.3888888888888889</v>
      </c>
      <c r="P153">
        <v>-0.6404444444444444</v>
      </c>
    </row>
    <row r="154" spans="1:16" x14ac:dyDescent="0.25">
      <c r="A154">
        <v>148</v>
      </c>
      <c r="B154" t="s">
        <v>661</v>
      </c>
      <c r="C154" t="s">
        <v>662</v>
      </c>
      <c r="D154" t="s">
        <v>255</v>
      </c>
      <c r="E154" t="s">
        <v>663</v>
      </c>
      <c r="F154" t="s">
        <v>28</v>
      </c>
      <c r="G154">
        <v>18</v>
      </c>
      <c r="H154">
        <v>4.528</v>
      </c>
      <c r="I154">
        <v>22.528</v>
      </c>
      <c r="J154">
        <v>32</v>
      </c>
      <c r="K154">
        <v>19</v>
      </c>
      <c r="L154">
        <v>15</v>
      </c>
      <c r="M154">
        <v>13.5</v>
      </c>
      <c r="N154">
        <v>-3</v>
      </c>
      <c r="O154">
        <v>-0.2</v>
      </c>
      <c r="P154">
        <v>-0.5018666666666666</v>
      </c>
    </row>
    <row r="155" spans="1:16" x14ac:dyDescent="0.25">
      <c r="A155">
        <v>149</v>
      </c>
      <c r="B155" t="s">
        <v>664</v>
      </c>
      <c r="C155" t="s">
        <v>665</v>
      </c>
      <c r="D155" t="s">
        <v>255</v>
      </c>
      <c r="E155" t="s">
        <v>666</v>
      </c>
      <c r="F155" t="s">
        <v>28</v>
      </c>
      <c r="G155">
        <v>18</v>
      </c>
      <c r="H155">
        <v>4.528</v>
      </c>
      <c r="I155">
        <v>22.528</v>
      </c>
      <c r="J155">
        <v>32</v>
      </c>
      <c r="K155">
        <v>19</v>
      </c>
      <c r="L155">
        <v>15</v>
      </c>
      <c r="M155">
        <v>13.5</v>
      </c>
      <c r="N155">
        <v>-3</v>
      </c>
      <c r="O155">
        <v>-0.2</v>
      </c>
      <c r="P155">
        <v>-0.5018666666666666</v>
      </c>
    </row>
    <row r="156" spans="1:16" x14ac:dyDescent="0.25">
      <c r="A156">
        <v>150</v>
      </c>
      <c r="B156" t="s">
        <v>667</v>
      </c>
      <c r="C156" t="s">
        <v>353</v>
      </c>
      <c r="D156" t="s">
        <v>255</v>
      </c>
      <c r="E156" t="s">
        <v>668</v>
      </c>
      <c r="F156" t="s">
        <v>28</v>
      </c>
      <c r="G156">
        <v>20</v>
      </c>
      <c r="H156">
        <v>4.528</v>
      </c>
      <c r="I156">
        <v>24.528</v>
      </c>
      <c r="J156">
        <v>24</v>
      </c>
      <c r="K156">
        <v>19</v>
      </c>
      <c r="L156">
        <v>15</v>
      </c>
      <c r="M156">
        <v>13.5</v>
      </c>
      <c r="N156">
        <v>-5</v>
      </c>
      <c r="O156">
        <v>-0.3333333333333333</v>
      </c>
      <c r="P156">
        <v>-0.6351999999999999</v>
      </c>
    </row>
    <row r="157" spans="1:16" x14ac:dyDescent="0.25">
      <c r="A157">
        <v>151</v>
      </c>
      <c r="B157" t="s">
        <v>669</v>
      </c>
      <c r="C157" t="s">
        <v>353</v>
      </c>
      <c r="D157" t="s">
        <v>255</v>
      </c>
      <c r="E157" t="s">
        <v>670</v>
      </c>
      <c r="F157" t="s">
        <v>28</v>
      </c>
      <c r="G157">
        <v>20</v>
      </c>
      <c r="H157">
        <v>4.528</v>
      </c>
      <c r="I157">
        <v>24.528</v>
      </c>
      <c r="J157">
        <v>24</v>
      </c>
      <c r="K157">
        <v>19</v>
      </c>
      <c r="L157">
        <v>14</v>
      </c>
      <c r="M157">
        <v>12.6</v>
      </c>
      <c r="N157">
        <v>-6</v>
      </c>
      <c r="O157">
        <v>-0.42857142857142855</v>
      </c>
      <c r="P157">
        <v>-0.7519999999999999</v>
      </c>
    </row>
    <row r="158" spans="1:16" x14ac:dyDescent="0.25">
      <c r="A158">
        <v>152</v>
      </c>
      <c r="B158" t="s">
        <v>671</v>
      </c>
      <c r="C158" t="s">
        <v>353</v>
      </c>
      <c r="D158" t="s">
        <v>255</v>
      </c>
      <c r="E158" t="s">
        <v>672</v>
      </c>
      <c r="F158" t="s">
        <v>28</v>
      </c>
      <c r="G158">
        <v>20</v>
      </c>
      <c r="H158">
        <v>4.528</v>
      </c>
      <c r="I158">
        <v>24.528</v>
      </c>
      <c r="J158">
        <v>24</v>
      </c>
      <c r="K158">
        <v>19</v>
      </c>
      <c r="L158">
        <v>14</v>
      </c>
      <c r="M158">
        <v>12.6</v>
      </c>
      <c r="N158">
        <v>-6</v>
      </c>
      <c r="O158">
        <v>-0.42857142857142855</v>
      </c>
      <c r="P158">
        <v>-0.7519999999999999</v>
      </c>
    </row>
    <row r="159" spans="1:16" x14ac:dyDescent="0.25">
      <c r="A159">
        <v>153</v>
      </c>
      <c r="B159" t="s">
        <v>673</v>
      </c>
      <c r="C159" t="s">
        <v>353</v>
      </c>
      <c r="D159" t="s">
        <v>255</v>
      </c>
      <c r="E159" t="s">
        <v>674</v>
      </c>
      <c r="F159" t="s">
        <v>28</v>
      </c>
      <c r="G159">
        <v>20</v>
      </c>
      <c r="H159">
        <v>4.528</v>
      </c>
      <c r="I159">
        <v>24.528</v>
      </c>
      <c r="J159">
        <v>24</v>
      </c>
      <c r="K159">
        <v>19</v>
      </c>
      <c r="L159">
        <v>14</v>
      </c>
      <c r="M159">
        <v>12.6</v>
      </c>
      <c r="N159">
        <v>-6</v>
      </c>
      <c r="O159">
        <v>-0.42857142857142855</v>
      </c>
      <c r="P159">
        <v>-0.7519999999999999</v>
      </c>
    </row>
    <row r="160" spans="1:16" x14ac:dyDescent="0.25">
      <c r="A160">
        <v>154</v>
      </c>
      <c r="B160" t="s">
        <v>675</v>
      </c>
      <c r="C160" t="s">
        <v>353</v>
      </c>
      <c r="D160" t="s">
        <v>255</v>
      </c>
      <c r="E160" t="s">
        <v>676</v>
      </c>
      <c r="F160" t="s">
        <v>28</v>
      </c>
      <c r="G160">
        <v>20</v>
      </c>
      <c r="H160">
        <v>4.528</v>
      </c>
      <c r="I160">
        <v>24.528</v>
      </c>
      <c r="J160">
        <v>24</v>
      </c>
      <c r="K160">
        <v>19</v>
      </c>
      <c r="L160">
        <v>14</v>
      </c>
      <c r="M160">
        <v>12.6</v>
      </c>
      <c r="N160">
        <v>-6</v>
      </c>
      <c r="O160">
        <v>-0.42857142857142855</v>
      </c>
      <c r="P160">
        <v>-0.7519999999999999</v>
      </c>
    </row>
    <row r="161" spans="1:16" x14ac:dyDescent="0.25">
      <c r="A161">
        <v>155</v>
      </c>
      <c r="B161" t="s">
        <v>677</v>
      </c>
      <c r="C161" t="s">
        <v>353</v>
      </c>
      <c r="D161" t="s">
        <v>255</v>
      </c>
      <c r="E161" t="s">
        <v>678</v>
      </c>
      <c r="F161" t="s">
        <v>28</v>
      </c>
      <c r="G161">
        <v>20</v>
      </c>
      <c r="H161">
        <v>4.528</v>
      </c>
      <c r="I161">
        <v>24.528</v>
      </c>
      <c r="J161">
        <v>24</v>
      </c>
      <c r="K161">
        <v>19</v>
      </c>
      <c r="L161">
        <v>14</v>
      </c>
      <c r="M161">
        <v>12.6</v>
      </c>
      <c r="N161">
        <v>-6</v>
      </c>
      <c r="O161">
        <v>-0.42857142857142855</v>
      </c>
      <c r="P161">
        <v>-0.7519999999999999</v>
      </c>
    </row>
    <row r="162" spans="1:16" x14ac:dyDescent="0.25">
      <c r="A162">
        <v>156</v>
      </c>
      <c r="B162" t="s">
        <v>679</v>
      </c>
      <c r="C162" t="s">
        <v>353</v>
      </c>
      <c r="D162" t="s">
        <v>255</v>
      </c>
      <c r="E162" t="s">
        <v>680</v>
      </c>
      <c r="F162" t="s">
        <v>28</v>
      </c>
      <c r="G162">
        <v>20</v>
      </c>
      <c r="H162">
        <v>4.528</v>
      </c>
      <c r="I162">
        <v>24.528</v>
      </c>
      <c r="J162">
        <v>24</v>
      </c>
      <c r="K162">
        <v>19</v>
      </c>
      <c r="L162">
        <v>14</v>
      </c>
      <c r="M162">
        <v>12.6</v>
      </c>
      <c r="N162">
        <v>-6</v>
      </c>
      <c r="O162">
        <v>-0.42857142857142855</v>
      </c>
      <c r="P162">
        <v>-0.7519999999999999</v>
      </c>
    </row>
    <row r="163" spans="1:16" x14ac:dyDescent="0.25">
      <c r="A163">
        <v>157</v>
      </c>
      <c r="B163" t="s">
        <v>681</v>
      </c>
      <c r="C163" t="s">
        <v>353</v>
      </c>
      <c r="D163" t="s">
        <v>255</v>
      </c>
      <c r="E163" t="s">
        <v>682</v>
      </c>
      <c r="F163" t="s">
        <v>28</v>
      </c>
      <c r="G163">
        <v>20</v>
      </c>
      <c r="H163">
        <v>4.528</v>
      </c>
      <c r="I163">
        <v>24.528</v>
      </c>
      <c r="J163">
        <v>24</v>
      </c>
      <c r="K163">
        <v>19</v>
      </c>
      <c r="L163">
        <v>14</v>
      </c>
      <c r="M163">
        <v>12.6</v>
      </c>
      <c r="N163">
        <v>-6</v>
      </c>
      <c r="O163">
        <v>-0.42857142857142855</v>
      </c>
      <c r="P163">
        <v>-0.7519999999999999</v>
      </c>
    </row>
    <row r="164" spans="1:16" x14ac:dyDescent="0.25">
      <c r="A164">
        <v>158</v>
      </c>
      <c r="B164" t="s">
        <v>683</v>
      </c>
      <c r="C164" t="s">
        <v>353</v>
      </c>
      <c r="D164" t="s">
        <v>255</v>
      </c>
      <c r="E164" t="s">
        <v>684</v>
      </c>
      <c r="F164" t="s">
        <v>28</v>
      </c>
      <c r="G164">
        <v>20</v>
      </c>
      <c r="H164">
        <v>4.528</v>
      </c>
      <c r="I164">
        <v>24.528</v>
      </c>
      <c r="J164">
        <v>24</v>
      </c>
      <c r="K164">
        <v>19</v>
      </c>
      <c r="L164">
        <v>14</v>
      </c>
      <c r="M164">
        <v>12.6</v>
      </c>
      <c r="N164">
        <v>-6</v>
      </c>
      <c r="O164">
        <v>-0.42857142857142855</v>
      </c>
      <c r="P164">
        <v>-0.7519999999999999</v>
      </c>
    </row>
    <row r="165" spans="1:16" x14ac:dyDescent="0.25">
      <c r="A165">
        <v>159</v>
      </c>
      <c r="B165" t="s">
        <v>685</v>
      </c>
      <c r="C165" t="s">
        <v>353</v>
      </c>
      <c r="D165" t="s">
        <v>255</v>
      </c>
      <c r="E165" t="s">
        <v>686</v>
      </c>
      <c r="F165" t="s">
        <v>28</v>
      </c>
      <c r="G165">
        <v>20</v>
      </c>
      <c r="H165">
        <v>4.528</v>
      </c>
      <c r="I165">
        <v>24.528</v>
      </c>
      <c r="J165">
        <v>24</v>
      </c>
      <c r="K165">
        <v>19</v>
      </c>
      <c r="L165">
        <v>14</v>
      </c>
      <c r="M165">
        <v>12.6</v>
      </c>
      <c r="N165">
        <v>-6</v>
      </c>
      <c r="O165">
        <v>-0.42857142857142855</v>
      </c>
      <c r="P165">
        <v>-0.7519999999999999</v>
      </c>
    </row>
    <row r="166" spans="1:16" x14ac:dyDescent="0.25">
      <c r="A166">
        <v>160</v>
      </c>
      <c r="B166" t="s">
        <v>687</v>
      </c>
      <c r="C166" t="s">
        <v>353</v>
      </c>
      <c r="D166" t="s">
        <v>255</v>
      </c>
      <c r="E166" t="s">
        <v>688</v>
      </c>
      <c r="F166" t="s">
        <v>28</v>
      </c>
      <c r="G166">
        <v>20</v>
      </c>
      <c r="H166">
        <v>4.528</v>
      </c>
      <c r="I166">
        <v>24.528</v>
      </c>
      <c r="J166">
        <v>24</v>
      </c>
      <c r="K166">
        <v>19</v>
      </c>
      <c r="L166">
        <v>14</v>
      </c>
      <c r="M166">
        <v>12.6</v>
      </c>
      <c r="N166">
        <v>-6</v>
      </c>
      <c r="O166">
        <v>-0.42857142857142855</v>
      </c>
      <c r="P166">
        <v>-0.7519999999999999</v>
      </c>
    </row>
    <row r="167" spans="1:16" x14ac:dyDescent="0.25">
      <c r="A167">
        <v>161</v>
      </c>
      <c r="B167" t="s">
        <v>689</v>
      </c>
      <c r="C167" t="s">
        <v>353</v>
      </c>
      <c r="D167" t="s">
        <v>255</v>
      </c>
      <c r="E167" t="s">
        <v>690</v>
      </c>
      <c r="F167" t="s">
        <v>28</v>
      </c>
      <c r="G167">
        <v>20</v>
      </c>
      <c r="H167">
        <v>4.528</v>
      </c>
      <c r="I167">
        <v>24.528</v>
      </c>
      <c r="J167">
        <v>24</v>
      </c>
      <c r="K167">
        <v>19</v>
      </c>
      <c r="L167">
        <v>14</v>
      </c>
      <c r="M167">
        <v>12.6</v>
      </c>
      <c r="N167">
        <v>-6</v>
      </c>
      <c r="O167">
        <v>-0.42857142857142855</v>
      </c>
      <c r="P167">
        <v>-0.7519999999999999</v>
      </c>
    </row>
    <row r="168" spans="1:16" x14ac:dyDescent="0.25">
      <c r="A168">
        <v>162</v>
      </c>
      <c r="B168" t="s">
        <v>691</v>
      </c>
      <c r="C168" t="s">
        <v>692</v>
      </c>
      <c r="D168" t="s">
        <v>255</v>
      </c>
      <c r="E168" t="s">
        <v>693</v>
      </c>
      <c r="F168" t="s">
        <v>28</v>
      </c>
      <c r="G168">
        <v>41</v>
      </c>
      <c r="H168">
        <v>4.528</v>
      </c>
      <c r="I168">
        <v>45.528</v>
      </c>
      <c r="J168">
        <v>158</v>
      </c>
      <c r="K168">
        <v>0</v>
      </c>
      <c r="L168">
        <v>38</v>
      </c>
      <c r="M168">
        <v>34.2</v>
      </c>
      <c r="N168">
        <v>-3</v>
      </c>
      <c r="O168">
        <v>-0.07894736842105263</v>
      </c>
      <c r="P168">
        <v>-0.1981052631578947</v>
      </c>
    </row>
    <row r="169" spans="1:16" x14ac:dyDescent="0.25">
      <c r="A169">
        <v>163</v>
      </c>
      <c r="B169" t="s">
        <v>694</v>
      </c>
      <c r="C169" t="s">
        <v>695</v>
      </c>
      <c r="D169" t="s">
        <v>255</v>
      </c>
      <c r="E169" t="s">
        <v>696</v>
      </c>
      <c r="F169" t="s">
        <v>28</v>
      </c>
      <c r="G169">
        <v>6</v>
      </c>
      <c r="H169">
        <v>4.528</v>
      </c>
      <c r="I169">
        <v>10.527999999999999</v>
      </c>
      <c r="J169">
        <v>14</v>
      </c>
      <c r="K169">
        <v>9</v>
      </c>
      <c r="L169">
        <v>6</v>
      </c>
      <c r="M169">
        <v>5.4</v>
      </c>
      <c r="N169">
        <v>0</v>
      </c>
      <c r="O169">
        <v>0</v>
      </c>
      <c r="P169">
        <v>-0.7546666666666665</v>
      </c>
    </row>
    <row r="170" spans="1:16" x14ac:dyDescent="0.25">
      <c r="A170">
        <v>164</v>
      </c>
      <c r="B170" t="s">
        <v>697</v>
      </c>
      <c r="C170" t="s">
        <v>695</v>
      </c>
      <c r="D170" t="s">
        <v>255</v>
      </c>
      <c r="E170" t="s">
        <v>698</v>
      </c>
      <c r="F170" t="s">
        <v>28</v>
      </c>
      <c r="G170">
        <v>7</v>
      </c>
      <c r="H170">
        <v>4.528</v>
      </c>
      <c r="I170">
        <v>11.527999999999999</v>
      </c>
      <c r="J170">
        <v>14</v>
      </c>
      <c r="K170">
        <v>9</v>
      </c>
      <c r="L170">
        <v>7</v>
      </c>
      <c r="M170">
        <v>6.3</v>
      </c>
      <c r="N170">
        <v>0</v>
      </c>
      <c r="O170">
        <v>0</v>
      </c>
      <c r="P170">
        <v>-0.6468571428571427</v>
      </c>
    </row>
    <row r="171" spans="1:16" x14ac:dyDescent="0.25">
      <c r="A171">
        <v>165</v>
      </c>
      <c r="B171" t="s">
        <v>699</v>
      </c>
      <c r="C171" t="s">
        <v>700</v>
      </c>
      <c r="D171" t="s">
        <v>255</v>
      </c>
      <c r="E171" t="s">
        <v>701</v>
      </c>
      <c r="F171" t="s">
        <v>28</v>
      </c>
      <c r="G171">
        <v>5</v>
      </c>
      <c r="H171">
        <v>4.528</v>
      </c>
      <c r="I171">
        <v>9.527999999999999</v>
      </c>
      <c r="J171">
        <v>2</v>
      </c>
      <c r="K171">
        <v>1.5</v>
      </c>
      <c r="L171">
        <v>4.7</v>
      </c>
      <c r="M171">
        <v>4.23</v>
      </c>
      <c r="N171">
        <v>-0.2999999999999998</v>
      </c>
      <c r="O171">
        <v>-0.0638297872340425</v>
      </c>
      <c r="P171">
        <v>-1.0272340425531912</v>
      </c>
    </row>
    <row r="172" spans="1:16" x14ac:dyDescent="0.25">
      <c r="A172">
        <v>166</v>
      </c>
      <c r="B172" t="s">
        <v>702</v>
      </c>
      <c r="C172" t="s">
        <v>703</v>
      </c>
      <c r="D172" t="s">
        <v>255</v>
      </c>
      <c r="E172" t="s">
        <v>704</v>
      </c>
      <c r="F172" t="s">
        <v>28</v>
      </c>
      <c r="G172">
        <v>16</v>
      </c>
      <c r="H172">
        <v>4.528</v>
      </c>
      <c r="I172">
        <v>20.528</v>
      </c>
      <c r="J172">
        <v>6</v>
      </c>
      <c r="K172">
        <v>5</v>
      </c>
      <c r="L172">
        <v>14</v>
      </c>
      <c r="M172">
        <v>12.6</v>
      </c>
      <c r="N172">
        <v>-2</v>
      </c>
      <c r="O172">
        <v>-0.14285714285714285</v>
      </c>
      <c r="P172">
        <v>-0.4662857142857142</v>
      </c>
    </row>
    <row r="173" spans="1:16" x14ac:dyDescent="0.25">
      <c r="A173">
        <v>167</v>
      </c>
      <c r="B173" t="s">
        <v>705</v>
      </c>
      <c r="C173" t="s">
        <v>706</v>
      </c>
      <c r="D173" t="s">
        <v>255</v>
      </c>
      <c r="E173" t="s">
        <v>707</v>
      </c>
      <c r="F173" t="s">
        <v>28</v>
      </c>
      <c r="G173">
        <v>41</v>
      </c>
      <c r="H173">
        <v>4.528</v>
      </c>
      <c r="I173">
        <v>45.528</v>
      </c>
      <c r="J173">
        <v>90</v>
      </c>
      <c r="K173">
        <v>54</v>
      </c>
      <c r="L173">
        <v>38</v>
      </c>
      <c r="M173">
        <v>34.2</v>
      </c>
      <c r="N173">
        <v>-3</v>
      </c>
      <c r="O173">
        <v>-0.07894736842105263</v>
      </c>
      <c r="P173">
        <v>-0.1981052631578947</v>
      </c>
    </row>
    <row r="174" spans="1:16" x14ac:dyDescent="0.25">
      <c r="A174">
        <v>168</v>
      </c>
      <c r="B174" t="s">
        <v>708</v>
      </c>
      <c r="C174" t="s">
        <v>709</v>
      </c>
      <c r="D174" t="s">
        <v>255</v>
      </c>
      <c r="E174" t="s">
        <v>710</v>
      </c>
      <c r="F174" t="s">
        <v>28</v>
      </c>
      <c r="G174">
        <v>41</v>
      </c>
      <c r="H174">
        <v>4.528</v>
      </c>
      <c r="I174">
        <v>45.528</v>
      </c>
      <c r="J174">
        <v>9</v>
      </c>
      <c r="K174">
        <v>5.5</v>
      </c>
      <c r="L174">
        <v>38</v>
      </c>
      <c r="M174">
        <v>34.2</v>
      </c>
      <c r="N174">
        <v>-3</v>
      </c>
      <c r="O174">
        <v>-0.07894736842105263</v>
      </c>
      <c r="P174">
        <v>-0.1981052631578947</v>
      </c>
    </row>
    <row r="175" spans="1:16" x14ac:dyDescent="0.25">
      <c r="A175">
        <v>169</v>
      </c>
      <c r="B175" t="s">
        <v>711</v>
      </c>
      <c r="C175" t="s">
        <v>712</v>
      </c>
      <c r="D175" t="s">
        <v>255</v>
      </c>
      <c r="E175" t="s">
        <v>713</v>
      </c>
      <c r="F175" t="s">
        <v>28</v>
      </c>
      <c r="G175">
        <v>5</v>
      </c>
      <c r="H175">
        <v>4.528</v>
      </c>
      <c r="I175">
        <v>9.527999999999999</v>
      </c>
      <c r="J175">
        <v>3</v>
      </c>
      <c r="K175">
        <v>2.5</v>
      </c>
      <c r="L175">
        <v>4.7</v>
      </c>
      <c r="M175">
        <v>4.23</v>
      </c>
      <c r="N175">
        <v>-0.2999999999999998</v>
      </c>
      <c r="O175">
        <v>-0.0638297872340425</v>
      </c>
      <c r="P175">
        <v>-1.0272340425531912</v>
      </c>
    </row>
    <row r="176" spans="1:16" x14ac:dyDescent="0.25">
      <c r="A176">
        <v>170</v>
      </c>
      <c r="B176" t="s">
        <v>714</v>
      </c>
      <c r="C176" t="s">
        <v>712</v>
      </c>
      <c r="D176" t="s">
        <v>255</v>
      </c>
      <c r="E176" t="s">
        <v>715</v>
      </c>
      <c r="F176" t="s">
        <v>28</v>
      </c>
      <c r="G176">
        <v>5</v>
      </c>
      <c r="H176">
        <v>4.528</v>
      </c>
      <c r="I176">
        <v>9.527999999999999</v>
      </c>
      <c r="J176">
        <v>3</v>
      </c>
      <c r="K176">
        <v>2.5</v>
      </c>
      <c r="L176">
        <v>4.7</v>
      </c>
      <c r="M176">
        <v>4.23</v>
      </c>
      <c r="N176">
        <v>-0.2999999999999998</v>
      </c>
      <c r="O176">
        <v>-0.0638297872340425</v>
      </c>
      <c r="P176">
        <v>-1.0272340425531912</v>
      </c>
    </row>
    <row r="177" spans="1:16" x14ac:dyDescent="0.25">
      <c r="A177">
        <v>171</v>
      </c>
      <c r="B177" t="s">
        <v>716</v>
      </c>
      <c r="C177" t="s">
        <v>717</v>
      </c>
      <c r="D177" t="s">
        <v>255</v>
      </c>
      <c r="E177" t="s">
        <v>718</v>
      </c>
      <c r="F177" t="s">
        <v>28</v>
      </c>
      <c r="G177">
        <v>5</v>
      </c>
      <c r="H177">
        <v>4.528</v>
      </c>
      <c r="I177">
        <v>9.527999999999999</v>
      </c>
      <c r="J177">
        <v>4</v>
      </c>
      <c r="K177">
        <v>3</v>
      </c>
      <c r="L177">
        <v>4.7</v>
      </c>
      <c r="M177">
        <v>4.23</v>
      </c>
      <c r="N177">
        <v>-0.2999999999999998</v>
      </c>
      <c r="O177">
        <v>-0.0638297872340425</v>
      </c>
      <c r="P177">
        <v>-1.0272340425531912</v>
      </c>
    </row>
    <row r="178" spans="1:16" x14ac:dyDescent="0.25">
      <c r="A178">
        <v>172</v>
      </c>
      <c r="B178" t="s">
        <v>719</v>
      </c>
      <c r="C178" t="s">
        <v>720</v>
      </c>
      <c r="D178" t="s">
        <v>255</v>
      </c>
      <c r="E178" t="s">
        <v>721</v>
      </c>
      <c r="F178" t="s">
        <v>28</v>
      </c>
      <c r="G178">
        <v>135</v>
      </c>
      <c r="H178">
        <v>4.528</v>
      </c>
      <c r="I178">
        <v>139.528</v>
      </c>
      <c r="J178">
        <v>352</v>
      </c>
      <c r="K178">
        <v>211</v>
      </c>
      <c r="L178">
        <v>125</v>
      </c>
      <c r="M178">
        <v>112.5</v>
      </c>
      <c r="N178">
        <v>-10</v>
      </c>
      <c r="O178">
        <v>-0.08</v>
      </c>
      <c r="P178">
        <v>-0.11622399999999994</v>
      </c>
    </row>
    <row r="179" spans="1:16" x14ac:dyDescent="0.25">
      <c r="A179">
        <v>173</v>
      </c>
      <c r="B179" t="s">
        <v>722</v>
      </c>
      <c r="C179" t="s">
        <v>723</v>
      </c>
      <c r="D179" t="s">
        <v>255</v>
      </c>
      <c r="E179" t="s">
        <v>724</v>
      </c>
      <c r="F179" t="s">
        <v>28</v>
      </c>
      <c r="G179">
        <v>67</v>
      </c>
      <c r="H179">
        <v>4.528</v>
      </c>
      <c r="I179">
        <v>71.528</v>
      </c>
      <c r="J179">
        <v>162</v>
      </c>
      <c r="K179">
        <v>97</v>
      </c>
      <c r="L179">
        <v>60</v>
      </c>
      <c r="M179">
        <v>54</v>
      </c>
      <c r="N179">
        <v>-7</v>
      </c>
      <c r="O179">
        <v>-0.11666666666666667</v>
      </c>
      <c r="P179">
        <v>-0.19213333333333343</v>
      </c>
    </row>
    <row r="180" spans="1:16" x14ac:dyDescent="0.25">
      <c r="A180">
        <v>174</v>
      </c>
      <c r="B180" t="s">
        <v>725</v>
      </c>
      <c r="C180" t="s">
        <v>726</v>
      </c>
      <c r="D180" t="s">
        <v>255</v>
      </c>
      <c r="E180" t="s">
        <v>727</v>
      </c>
      <c r="F180" t="s">
        <v>28</v>
      </c>
      <c r="G180">
        <v>103</v>
      </c>
      <c r="H180">
        <v>4.528</v>
      </c>
      <c r="I180">
        <v>107.528</v>
      </c>
      <c r="J180">
        <v>368</v>
      </c>
      <c r="K180">
        <v>313</v>
      </c>
      <c r="L180">
        <v>95</v>
      </c>
      <c r="M180">
        <v>85.5</v>
      </c>
      <c r="N180">
        <v>-8</v>
      </c>
      <c r="O180">
        <v>-0.08421052631578947</v>
      </c>
      <c r="P180">
        <v>-0.13187368421052637</v>
      </c>
    </row>
    <row r="181" spans="1:16" x14ac:dyDescent="0.25">
      <c r="A181">
        <v>175</v>
      </c>
      <c r="B181" t="s">
        <v>728</v>
      </c>
      <c r="C181" t="s">
        <v>729</v>
      </c>
      <c r="D181" t="s">
        <v>255</v>
      </c>
      <c r="E181" t="s">
        <v>730</v>
      </c>
      <c r="F181" t="s">
        <v>28</v>
      </c>
      <c r="G181">
        <v>41</v>
      </c>
      <c r="H181">
        <v>4.528</v>
      </c>
      <c r="I181">
        <v>45.528</v>
      </c>
      <c r="J181">
        <v>100</v>
      </c>
      <c r="K181">
        <v>60</v>
      </c>
      <c r="L181">
        <v>38</v>
      </c>
      <c r="M181">
        <v>34.2</v>
      </c>
      <c r="N181">
        <v>-3</v>
      </c>
      <c r="O181">
        <v>-0.07894736842105263</v>
      </c>
      <c r="P181">
        <v>-0.1981052631578947</v>
      </c>
    </row>
    <row r="182" spans="1:16" x14ac:dyDescent="0.25">
      <c r="A182">
        <v>176</v>
      </c>
      <c r="B182" t="s">
        <v>731</v>
      </c>
      <c r="C182" t="s">
        <v>729</v>
      </c>
      <c r="D182" t="s">
        <v>255</v>
      </c>
      <c r="E182" t="s">
        <v>732</v>
      </c>
      <c r="F182" t="s">
        <v>28</v>
      </c>
      <c r="G182">
        <v>29</v>
      </c>
      <c r="H182">
        <v>4.528</v>
      </c>
      <c r="I182">
        <v>33.528</v>
      </c>
      <c r="J182">
        <v>100</v>
      </c>
      <c r="K182">
        <v>60</v>
      </c>
      <c r="L182">
        <v>27</v>
      </c>
      <c r="M182">
        <v>24.3</v>
      </c>
      <c r="N182">
        <v>-2</v>
      </c>
      <c r="O182">
        <v>-0.07407407407407407</v>
      </c>
      <c r="P182">
        <v>-0.24177777777777773</v>
      </c>
    </row>
    <row r="183" spans="1:16" x14ac:dyDescent="0.25">
      <c r="A183">
        <v>177</v>
      </c>
      <c r="B183" t="s">
        <v>733</v>
      </c>
      <c r="C183" t="s">
        <v>734</v>
      </c>
      <c r="D183" t="s">
        <v>255</v>
      </c>
      <c r="E183" t="s">
        <v>735</v>
      </c>
      <c r="F183" t="s">
        <v>28</v>
      </c>
      <c r="G183">
        <v>126</v>
      </c>
      <c r="H183">
        <v>4.528</v>
      </c>
      <c r="I183">
        <v>130.528</v>
      </c>
      <c r="J183">
        <v>352</v>
      </c>
      <c r="K183">
        <v>211</v>
      </c>
      <c r="L183">
        <v>115</v>
      </c>
      <c r="M183">
        <v>103.5</v>
      </c>
      <c r="N183">
        <v>-11</v>
      </c>
      <c r="O183">
        <v>-0.09565217391304348</v>
      </c>
      <c r="P183">
        <v>-0.13502608695652166</v>
      </c>
    </row>
    <row r="184" spans="1:16" x14ac:dyDescent="0.25">
      <c r="A184">
        <v>178</v>
      </c>
      <c r="B184" t="s">
        <v>736</v>
      </c>
      <c r="C184" t="s">
        <v>737</v>
      </c>
      <c r="D184" t="s">
        <v>255</v>
      </c>
      <c r="E184" t="s">
        <v>738</v>
      </c>
      <c r="F184" t="s">
        <v>28</v>
      </c>
      <c r="G184">
        <v>5</v>
      </c>
      <c r="H184">
        <v>4.528</v>
      </c>
      <c r="I184">
        <v>9.527999999999999</v>
      </c>
      <c r="J184">
        <v>3</v>
      </c>
      <c r="K184">
        <v>2.5</v>
      </c>
      <c r="L184">
        <v>4.7</v>
      </c>
      <c r="M184">
        <v>4.23</v>
      </c>
      <c r="N184">
        <v>-0.2999999999999998</v>
      </c>
      <c r="O184">
        <v>-0.0638297872340425</v>
      </c>
      <c r="P184">
        <v>-1.0272340425531912</v>
      </c>
    </row>
    <row r="185" spans="1:16" x14ac:dyDescent="0.25">
      <c r="A185">
        <v>179</v>
      </c>
      <c r="B185" t="s">
        <v>739</v>
      </c>
      <c r="C185" t="s">
        <v>740</v>
      </c>
      <c r="D185" t="s">
        <v>255</v>
      </c>
      <c r="E185" t="s">
        <v>741</v>
      </c>
      <c r="F185" t="s">
        <v>28</v>
      </c>
      <c r="G185">
        <v>64</v>
      </c>
      <c r="H185">
        <v>4.528</v>
      </c>
      <c r="I185">
        <v>68.528</v>
      </c>
      <c r="J185">
        <v>159</v>
      </c>
      <c r="K185">
        <v>95.5</v>
      </c>
      <c r="L185">
        <v>55</v>
      </c>
      <c r="M185">
        <v>49.5</v>
      </c>
      <c r="N185">
        <v>-9</v>
      </c>
      <c r="O185">
        <v>-0.16363636363636364</v>
      </c>
      <c r="P185">
        <v>-0.24596363636363647</v>
      </c>
    </row>
    <row r="186" spans="1:16" x14ac:dyDescent="0.25">
      <c r="A186">
        <v>180</v>
      </c>
      <c r="B186" t="s">
        <v>742</v>
      </c>
      <c r="C186" t="s">
        <v>743</v>
      </c>
      <c r="D186" t="s">
        <v>255</v>
      </c>
      <c r="E186" t="s">
        <v>744</v>
      </c>
      <c r="F186" t="s">
        <v>28</v>
      </c>
      <c r="G186">
        <v>140</v>
      </c>
      <c r="H186">
        <v>4.528</v>
      </c>
      <c r="I186">
        <v>144.528</v>
      </c>
      <c r="J186">
        <v>251</v>
      </c>
      <c r="K186">
        <v>150.5</v>
      </c>
      <c r="L186">
        <v>130</v>
      </c>
      <c r="M186">
        <v>117</v>
      </c>
      <c r="N186">
        <v>-10</v>
      </c>
      <c r="O186">
        <v>-0.07692307692307693</v>
      </c>
      <c r="P186">
        <v>-0.11175384615384609</v>
      </c>
    </row>
    <row r="187" spans="1:16" x14ac:dyDescent="0.25">
      <c r="A187">
        <v>181</v>
      </c>
      <c r="B187" t="s">
        <v>745</v>
      </c>
      <c r="C187" t="s">
        <v>746</v>
      </c>
      <c r="D187" t="s">
        <v>255</v>
      </c>
      <c r="E187" t="s">
        <v>747</v>
      </c>
      <c r="F187" t="s">
        <v>28</v>
      </c>
      <c r="G187">
        <v>23</v>
      </c>
      <c r="H187">
        <v>4.528</v>
      </c>
      <c r="I187">
        <v>27.528</v>
      </c>
      <c r="J187">
        <v>57</v>
      </c>
      <c r="K187">
        <v>34</v>
      </c>
      <c r="L187">
        <v>21</v>
      </c>
      <c r="M187">
        <v>18.9</v>
      </c>
      <c r="N187">
        <v>-2</v>
      </c>
      <c r="O187">
        <v>-0.09523809523809523</v>
      </c>
      <c r="P187">
        <v>-0.3108571428571428</v>
      </c>
    </row>
    <row r="188" spans="1:16" x14ac:dyDescent="0.25">
      <c r="A188">
        <v>182</v>
      </c>
      <c r="B188" t="s">
        <v>748</v>
      </c>
      <c r="C188" t="s">
        <v>749</v>
      </c>
      <c r="D188" t="s">
        <v>255</v>
      </c>
      <c r="E188" t="s">
        <v>750</v>
      </c>
      <c r="F188" t="s">
        <v>28</v>
      </c>
      <c r="G188">
        <v>23</v>
      </c>
      <c r="H188">
        <v>4.528</v>
      </c>
      <c r="I188">
        <v>27.528</v>
      </c>
      <c r="J188">
        <v>57</v>
      </c>
      <c r="K188">
        <v>34</v>
      </c>
      <c r="L188">
        <v>21</v>
      </c>
      <c r="M188">
        <v>18.9</v>
      </c>
      <c r="N188">
        <v>-2</v>
      </c>
      <c r="O188">
        <v>-0.09523809523809523</v>
      </c>
      <c r="P188">
        <v>-0.3108571428571428</v>
      </c>
    </row>
    <row r="189" spans="1:16" x14ac:dyDescent="0.25">
      <c r="A189">
        <v>183</v>
      </c>
      <c r="B189" t="s">
        <v>751</v>
      </c>
      <c r="C189" t="s">
        <v>273</v>
      </c>
      <c r="D189" t="s">
        <v>255</v>
      </c>
      <c r="E189" t="s">
        <v>752</v>
      </c>
      <c r="F189" t="s">
        <v>28</v>
      </c>
      <c r="G189">
        <v>27</v>
      </c>
      <c r="H189">
        <v>4.528</v>
      </c>
      <c r="I189">
        <v>31.528</v>
      </c>
      <c r="J189">
        <v>18</v>
      </c>
      <c r="K189">
        <v>11.5</v>
      </c>
      <c r="L189">
        <v>25</v>
      </c>
      <c r="M189">
        <v>22.5</v>
      </c>
      <c r="N189">
        <v>-2</v>
      </c>
      <c r="O189">
        <v>-0.08</v>
      </c>
      <c r="P189">
        <v>-0.26111999999999996</v>
      </c>
    </row>
    <row r="190" spans="1:16" x14ac:dyDescent="0.25">
      <c r="A190">
        <v>184</v>
      </c>
      <c r="B190" t="s">
        <v>753</v>
      </c>
      <c r="C190" t="s">
        <v>273</v>
      </c>
      <c r="D190" t="s">
        <v>255</v>
      </c>
      <c r="E190" t="s">
        <v>754</v>
      </c>
      <c r="F190" t="s">
        <v>28</v>
      </c>
      <c r="G190">
        <v>27</v>
      </c>
      <c r="H190">
        <v>4.528</v>
      </c>
      <c r="I190">
        <v>31.528</v>
      </c>
      <c r="J190">
        <v>18</v>
      </c>
      <c r="K190">
        <v>11.5</v>
      </c>
      <c r="L190">
        <v>25</v>
      </c>
      <c r="M190">
        <v>22.5</v>
      </c>
      <c r="N190">
        <v>-2</v>
      </c>
      <c r="O190">
        <v>-0.08</v>
      </c>
      <c r="P190">
        <v>-0.26111999999999996</v>
      </c>
    </row>
    <row r="191" spans="1:16" x14ac:dyDescent="0.25">
      <c r="A191">
        <v>185</v>
      </c>
      <c r="B191" t="s">
        <v>755</v>
      </c>
      <c r="C191" t="s">
        <v>756</v>
      </c>
      <c r="D191" t="s">
        <v>255</v>
      </c>
      <c r="E191" t="s">
        <v>757</v>
      </c>
      <c r="F191" t="s">
        <v>28</v>
      </c>
      <c r="G191">
        <v>41</v>
      </c>
      <c r="H191">
        <v>4.528</v>
      </c>
      <c r="I191">
        <v>45.528</v>
      </c>
      <c r="J191">
        <v>21</v>
      </c>
      <c r="K191">
        <v>20</v>
      </c>
      <c r="L191">
        <v>30</v>
      </c>
      <c r="M191">
        <v>27</v>
      </c>
      <c r="N191">
        <v>-11</v>
      </c>
      <c r="O191">
        <v>-0.36666666666666664</v>
      </c>
      <c r="P191">
        <v>-0.5176</v>
      </c>
    </row>
    <row r="192" spans="1:16" x14ac:dyDescent="0.25">
      <c r="A192">
        <v>186</v>
      </c>
      <c r="B192" t="s">
        <v>758</v>
      </c>
      <c r="C192" t="s">
        <v>759</v>
      </c>
      <c r="D192" t="s">
        <v>255</v>
      </c>
      <c r="E192" t="s">
        <v>760</v>
      </c>
      <c r="F192" t="s">
        <v>28</v>
      </c>
      <c r="G192">
        <v>23</v>
      </c>
      <c r="H192">
        <v>4.528</v>
      </c>
      <c r="I192">
        <v>27.528</v>
      </c>
      <c r="J192">
        <v>20</v>
      </c>
      <c r="K192">
        <v>14</v>
      </c>
      <c r="L192">
        <v>20</v>
      </c>
      <c r="M192">
        <v>18</v>
      </c>
      <c r="N192">
        <v>-3</v>
      </c>
      <c r="O192">
        <v>-0.15</v>
      </c>
      <c r="P192">
        <v>-0.37639999999999996</v>
      </c>
    </row>
    <row r="193" spans="1:16" x14ac:dyDescent="0.25">
      <c r="A193">
        <v>187</v>
      </c>
      <c r="B193" t="s">
        <v>761</v>
      </c>
      <c r="C193" t="s">
        <v>762</v>
      </c>
      <c r="D193" t="s">
        <v>255</v>
      </c>
      <c r="E193" t="s">
        <v>763</v>
      </c>
      <c r="F193" t="s">
        <v>28</v>
      </c>
      <c r="G193">
        <v>124</v>
      </c>
      <c r="H193">
        <v>4.528</v>
      </c>
      <c r="I193">
        <v>128.528</v>
      </c>
      <c r="J193">
        <v>154</v>
      </c>
      <c r="K193">
        <v>146.5</v>
      </c>
      <c r="L193">
        <v>115</v>
      </c>
      <c r="M193">
        <v>103.5</v>
      </c>
      <c r="N193">
        <v>-9</v>
      </c>
      <c r="O193">
        <v>-0.0782608695652174</v>
      </c>
      <c r="P193">
        <v>-0.11763478260869557</v>
      </c>
    </row>
    <row r="194" spans="1:16" x14ac:dyDescent="0.25">
      <c r="A194">
        <v>188</v>
      </c>
      <c r="B194" t="s">
        <v>764</v>
      </c>
      <c r="C194" t="s">
        <v>765</v>
      </c>
      <c r="D194" t="s">
        <v>255</v>
      </c>
      <c r="E194" t="s">
        <v>766</v>
      </c>
      <c r="F194" t="s">
        <v>28</v>
      </c>
      <c r="G194">
        <v>25</v>
      </c>
      <c r="H194">
        <v>4.528</v>
      </c>
      <c r="I194">
        <v>29.528</v>
      </c>
      <c r="J194">
        <v>14</v>
      </c>
      <c r="K194">
        <v>14</v>
      </c>
      <c r="L194">
        <v>23</v>
      </c>
      <c r="M194">
        <v>20.7</v>
      </c>
      <c r="N194">
        <v>-2</v>
      </c>
      <c r="O194">
        <v>-0.08695652173913043</v>
      </c>
      <c r="P194">
        <v>-0.2838260869565217</v>
      </c>
    </row>
    <row r="195" spans="1:16" x14ac:dyDescent="0.25">
      <c r="A195">
        <v>189</v>
      </c>
      <c r="B195" t="s">
        <v>767</v>
      </c>
      <c r="C195" t="s">
        <v>768</v>
      </c>
      <c r="D195" t="s">
        <v>255</v>
      </c>
      <c r="E195" t="s">
        <v>769</v>
      </c>
      <c r="F195" t="s">
        <v>28</v>
      </c>
      <c r="G195">
        <v>94</v>
      </c>
      <c r="H195">
        <v>4.528</v>
      </c>
      <c r="I195">
        <v>98.528</v>
      </c>
      <c r="J195">
        <v>202</v>
      </c>
      <c r="K195">
        <v>121</v>
      </c>
      <c r="L195">
        <v>85</v>
      </c>
      <c r="M195">
        <v>76.5</v>
      </c>
      <c r="N195">
        <v>-9</v>
      </c>
      <c r="O195">
        <v>-0.10588235294117647</v>
      </c>
      <c r="P195">
        <v>-0.15915294117647066</v>
      </c>
    </row>
    <row r="196" spans="1:16" x14ac:dyDescent="0.25">
      <c r="A196">
        <v>190</v>
      </c>
      <c r="B196" t="s">
        <v>770</v>
      </c>
      <c r="C196" t="s">
        <v>771</v>
      </c>
      <c r="D196" t="s">
        <v>255</v>
      </c>
      <c r="E196" t="s">
        <v>772</v>
      </c>
      <c r="F196" t="s">
        <v>28</v>
      </c>
      <c r="G196">
        <v>36</v>
      </c>
      <c r="H196">
        <v>4.528</v>
      </c>
      <c r="I196">
        <v>40.528</v>
      </c>
      <c r="J196">
        <v>22</v>
      </c>
      <c r="K196">
        <v>20</v>
      </c>
      <c r="L196">
        <v>27</v>
      </c>
      <c r="M196">
        <v>24.3</v>
      </c>
      <c r="N196">
        <v>-9</v>
      </c>
      <c r="O196">
        <v>-0.3333333333333333</v>
      </c>
      <c r="P196">
        <v>-0.501037037037037</v>
      </c>
    </row>
    <row r="197" spans="1:16" x14ac:dyDescent="0.25">
      <c r="A197">
        <v>191</v>
      </c>
      <c r="B197" t="s">
        <v>773</v>
      </c>
      <c r="C197" t="s">
        <v>774</v>
      </c>
      <c r="D197" t="s">
        <v>255</v>
      </c>
      <c r="E197" t="s">
        <v>775</v>
      </c>
      <c r="F197" t="s">
        <v>28</v>
      </c>
      <c r="G197">
        <v>43</v>
      </c>
      <c r="H197">
        <v>4.528</v>
      </c>
      <c r="I197">
        <v>47.528</v>
      </c>
      <c r="J197">
        <v>52</v>
      </c>
      <c r="K197">
        <v>49.5</v>
      </c>
      <c r="L197">
        <v>40</v>
      </c>
      <c r="M197">
        <v>36</v>
      </c>
      <c r="N197">
        <v>-3</v>
      </c>
      <c r="O197">
        <v>-0.075</v>
      </c>
      <c r="P197">
        <v>-0.18819999999999998</v>
      </c>
    </row>
    <row r="198" spans="1:16" x14ac:dyDescent="0.25">
      <c r="A198">
        <v>192</v>
      </c>
      <c r="B198" t="s">
        <v>776</v>
      </c>
      <c r="C198" t="s">
        <v>777</v>
      </c>
      <c r="D198" t="s">
        <v>255</v>
      </c>
      <c r="E198" t="s">
        <v>778</v>
      </c>
      <c r="F198" t="s">
        <v>28</v>
      </c>
      <c r="G198">
        <v>50</v>
      </c>
      <c r="H198">
        <v>4.528</v>
      </c>
      <c r="I198">
        <v>54.528</v>
      </c>
      <c r="J198">
        <v>14</v>
      </c>
      <c r="K198">
        <v>12.5</v>
      </c>
      <c r="L198">
        <v>33</v>
      </c>
      <c r="M198">
        <v>29.7</v>
      </c>
      <c r="N198">
        <v>-17</v>
      </c>
      <c r="O198">
        <v>-0.5151515151515151</v>
      </c>
      <c r="P198">
        <v>-0.6523636363636364</v>
      </c>
    </row>
    <row r="199" spans="1:16" x14ac:dyDescent="0.25">
      <c r="A199">
        <v>193</v>
      </c>
      <c r="B199" t="s">
        <v>779</v>
      </c>
      <c r="C199" t="s">
        <v>780</v>
      </c>
      <c r="D199" t="s">
        <v>255</v>
      </c>
      <c r="E199" t="s">
        <v>781</v>
      </c>
      <c r="F199" t="s">
        <v>28</v>
      </c>
      <c r="G199">
        <v>25</v>
      </c>
      <c r="H199">
        <v>4.528</v>
      </c>
      <c r="I199">
        <v>29.528</v>
      </c>
      <c r="J199">
        <v>15</v>
      </c>
      <c r="K199">
        <v>12</v>
      </c>
      <c r="L199">
        <v>21</v>
      </c>
      <c r="M199">
        <v>18.9</v>
      </c>
      <c r="N199">
        <v>-4</v>
      </c>
      <c r="O199">
        <v>-0.19047619047619047</v>
      </c>
      <c r="P199">
        <v>-0.406095238095238</v>
      </c>
    </row>
    <row r="200" spans="1:16" x14ac:dyDescent="0.25">
      <c r="A200">
        <v>194</v>
      </c>
      <c r="B200" t="s">
        <v>782</v>
      </c>
      <c r="C200" t="s">
        <v>783</v>
      </c>
      <c r="D200" t="s">
        <v>255</v>
      </c>
      <c r="E200" t="s">
        <v>784</v>
      </c>
      <c r="F200" t="s">
        <v>28</v>
      </c>
      <c r="G200">
        <v>77</v>
      </c>
      <c r="H200">
        <v>4.528</v>
      </c>
      <c r="I200">
        <v>81.528</v>
      </c>
      <c r="J200">
        <v>62</v>
      </c>
      <c r="K200">
        <v>40.5</v>
      </c>
      <c r="L200">
        <v>55</v>
      </c>
      <c r="M200">
        <v>49.5</v>
      </c>
      <c r="N200">
        <v>-22</v>
      </c>
      <c r="O200">
        <v>-0.4</v>
      </c>
      <c r="P200">
        <v>-0.4823272727272728</v>
      </c>
    </row>
    <row r="201" spans="1:16" x14ac:dyDescent="0.25">
      <c r="A201">
        <v>195</v>
      </c>
      <c r="B201" t="s">
        <v>785</v>
      </c>
      <c r="C201" t="s">
        <v>786</v>
      </c>
      <c r="D201" t="s">
        <v>255</v>
      </c>
      <c r="E201" t="s">
        <v>787</v>
      </c>
      <c r="F201" t="s">
        <v>28</v>
      </c>
      <c r="G201">
        <v>90</v>
      </c>
      <c r="H201">
        <v>4.528</v>
      </c>
      <c r="I201">
        <v>94.528</v>
      </c>
      <c r="J201">
        <v>68</v>
      </c>
      <c r="K201">
        <v>64.5</v>
      </c>
      <c r="L201">
        <v>60</v>
      </c>
      <c r="M201">
        <v>54</v>
      </c>
      <c r="N201">
        <v>-30</v>
      </c>
      <c r="O201">
        <v>-0.5</v>
      </c>
      <c r="P201">
        <v>-0.5754666666666668</v>
      </c>
    </row>
    <row r="202" spans="1:16" x14ac:dyDescent="0.25">
      <c r="A202">
        <v>196</v>
      </c>
      <c r="B202" t="s">
        <v>788</v>
      </c>
      <c r="C202" t="s">
        <v>789</v>
      </c>
      <c r="D202" t="s">
        <v>255</v>
      </c>
      <c r="E202" t="s">
        <v>790</v>
      </c>
      <c r="F202" t="s">
        <v>28</v>
      </c>
      <c r="G202">
        <v>32</v>
      </c>
      <c r="H202">
        <v>4.528</v>
      </c>
      <c r="I202">
        <v>36.528</v>
      </c>
      <c r="J202">
        <v>22</v>
      </c>
      <c r="K202">
        <v>20</v>
      </c>
      <c r="L202">
        <v>30</v>
      </c>
      <c r="M202">
        <v>27</v>
      </c>
      <c r="N202">
        <v>-2</v>
      </c>
      <c r="O202">
        <v>-0.06666666666666667</v>
      </c>
      <c r="P202">
        <v>-0.21759999999999996</v>
      </c>
    </row>
    <row r="203" spans="1:16" x14ac:dyDescent="0.25">
      <c r="A203">
        <v>197</v>
      </c>
      <c r="B203" t="s">
        <v>791</v>
      </c>
      <c r="C203" t="s">
        <v>792</v>
      </c>
      <c r="D203" t="s">
        <v>255</v>
      </c>
      <c r="E203" t="s">
        <v>793</v>
      </c>
      <c r="F203" t="s">
        <v>28</v>
      </c>
      <c r="G203">
        <v>16</v>
      </c>
      <c r="H203">
        <v>4.528</v>
      </c>
      <c r="I203">
        <v>20.528</v>
      </c>
      <c r="J203">
        <v>6</v>
      </c>
      <c r="K203">
        <v>5</v>
      </c>
      <c r="L203">
        <v>13</v>
      </c>
      <c r="M203">
        <v>11.7</v>
      </c>
      <c r="N203">
        <v>-3</v>
      </c>
      <c r="O203">
        <v>-0.23076923076923078</v>
      </c>
      <c r="P203">
        <v>-0.5790769230769229</v>
      </c>
    </row>
    <row r="204" spans="1:16" x14ac:dyDescent="0.25">
      <c r="A204">
        <v>198</v>
      </c>
      <c r="B204" t="s">
        <v>794</v>
      </c>
      <c r="C204" t="s">
        <v>792</v>
      </c>
      <c r="D204" t="s">
        <v>255</v>
      </c>
      <c r="E204" t="s">
        <v>795</v>
      </c>
      <c r="F204" t="s">
        <v>28</v>
      </c>
      <c r="G204">
        <v>86</v>
      </c>
      <c r="H204">
        <v>4.528</v>
      </c>
      <c r="I204">
        <v>90.528</v>
      </c>
      <c r="J204">
        <v>6</v>
      </c>
      <c r="K204">
        <v>5</v>
      </c>
      <c r="L204">
        <v>80</v>
      </c>
      <c r="M204">
        <v>72</v>
      </c>
      <c r="N204">
        <v>-6</v>
      </c>
      <c r="O204">
        <v>-0.075</v>
      </c>
      <c r="P204">
        <v>-0.13160000000000008</v>
      </c>
    </row>
    <row r="205" spans="1:16" x14ac:dyDescent="0.25">
      <c r="A205">
        <v>199</v>
      </c>
      <c r="B205" t="s">
        <v>796</v>
      </c>
      <c r="C205" t="s">
        <v>797</v>
      </c>
      <c r="D205" t="s">
        <v>255</v>
      </c>
      <c r="E205" t="s">
        <v>798</v>
      </c>
      <c r="F205" t="s">
        <v>28</v>
      </c>
      <c r="G205">
        <v>16</v>
      </c>
      <c r="H205">
        <v>4.528</v>
      </c>
      <c r="I205">
        <v>20.528</v>
      </c>
      <c r="J205">
        <v>13</v>
      </c>
      <c r="K205">
        <v>11.5</v>
      </c>
      <c r="L205">
        <v>15</v>
      </c>
      <c r="M205">
        <v>13.5</v>
      </c>
      <c r="N205">
        <v>-1</v>
      </c>
      <c r="O205">
        <v>-0.06666666666666667</v>
      </c>
      <c r="P205">
        <v>-0.36853333333333327</v>
      </c>
    </row>
    <row r="206" spans="1:16" x14ac:dyDescent="0.25">
      <c r="A206">
        <v>200</v>
      </c>
      <c r="B206" t="s">
        <v>799</v>
      </c>
      <c r="C206" t="s">
        <v>800</v>
      </c>
      <c r="D206" t="s">
        <v>255</v>
      </c>
      <c r="E206" t="s">
        <v>801</v>
      </c>
      <c r="F206" t="s">
        <v>28</v>
      </c>
      <c r="G206">
        <v>34</v>
      </c>
      <c r="H206">
        <v>4.528</v>
      </c>
      <c r="I206">
        <v>38.528</v>
      </c>
      <c r="J206">
        <v>21</v>
      </c>
      <c r="K206">
        <v>20</v>
      </c>
      <c r="L206">
        <v>32</v>
      </c>
      <c r="M206">
        <v>28.8</v>
      </c>
      <c r="N206">
        <v>-2</v>
      </c>
      <c r="O206">
        <v>-0.0625</v>
      </c>
      <c r="P206">
        <v>-0.20399999999999996</v>
      </c>
    </row>
    <row r="207" spans="1:16" x14ac:dyDescent="0.25">
      <c r="A207">
        <v>201</v>
      </c>
      <c r="B207" t="s">
        <v>802</v>
      </c>
      <c r="C207" t="s">
        <v>803</v>
      </c>
      <c r="D207" t="s">
        <v>255</v>
      </c>
      <c r="E207" t="s">
        <v>804</v>
      </c>
      <c r="F207" t="s">
        <v>28</v>
      </c>
      <c r="G207">
        <v>194</v>
      </c>
      <c r="H207">
        <v>4.528</v>
      </c>
      <c r="I207">
        <v>198.528</v>
      </c>
      <c r="J207">
        <v>16</v>
      </c>
      <c r="K207">
        <v>15</v>
      </c>
      <c r="L207">
        <v>115</v>
      </c>
      <c r="M207">
        <v>103.5</v>
      </c>
      <c r="N207">
        <v>-79</v>
      </c>
      <c r="O207">
        <v>-0.6869565217391305</v>
      </c>
      <c r="P207">
        <v>-0.7263304347826086</v>
      </c>
    </row>
    <row r="208" spans="1:16" x14ac:dyDescent="0.25">
      <c r="A208">
        <v>202</v>
      </c>
      <c r="B208" t="s">
        <v>805</v>
      </c>
      <c r="C208" t="s">
        <v>806</v>
      </c>
      <c r="D208" t="s">
        <v>255</v>
      </c>
      <c r="E208" t="s">
        <v>807</v>
      </c>
      <c r="F208" t="s">
        <v>28</v>
      </c>
      <c r="G208">
        <v>70</v>
      </c>
      <c r="H208">
        <v>4.528</v>
      </c>
      <c r="I208">
        <v>74.528</v>
      </c>
      <c r="J208">
        <v>38</v>
      </c>
      <c r="K208">
        <v>36</v>
      </c>
      <c r="L208">
        <v>39</v>
      </c>
      <c r="M208">
        <v>35.1</v>
      </c>
      <c r="N208">
        <v>-31</v>
      </c>
      <c r="O208">
        <v>-0.7948717948717948</v>
      </c>
      <c r="P208">
        <v>-0.9109743589743591</v>
      </c>
    </row>
    <row r="209" spans="1:16" x14ac:dyDescent="0.25">
      <c r="A209">
        <v>203</v>
      </c>
      <c r="B209" t="s">
        <v>808</v>
      </c>
      <c r="C209" t="s">
        <v>809</v>
      </c>
      <c r="D209" t="s">
        <v>255</v>
      </c>
      <c r="E209" t="s">
        <v>810</v>
      </c>
      <c r="F209" t="s">
        <v>28</v>
      </c>
      <c r="G209">
        <v>126</v>
      </c>
      <c r="H209">
        <v>4.528</v>
      </c>
      <c r="I209">
        <v>130.528</v>
      </c>
      <c r="J209">
        <v>350</v>
      </c>
      <c r="K209">
        <v>210</v>
      </c>
      <c r="L209">
        <v>43</v>
      </c>
      <c r="M209">
        <v>38.7</v>
      </c>
      <c r="N209">
        <v>-83</v>
      </c>
      <c r="O209">
        <v>-1.930232558139535</v>
      </c>
      <c r="P209">
        <v>-2.03553488372093</v>
      </c>
    </row>
    <row r="210" spans="1:16" x14ac:dyDescent="0.25">
      <c r="A210">
        <v>204</v>
      </c>
      <c r="B210" t="s">
        <v>811</v>
      </c>
      <c r="C210" t="s">
        <v>812</v>
      </c>
      <c r="D210" t="s">
        <v>255</v>
      </c>
      <c r="E210" t="s">
        <v>813</v>
      </c>
      <c r="F210" t="s">
        <v>28</v>
      </c>
      <c r="G210">
        <v>126</v>
      </c>
      <c r="H210">
        <v>4.528</v>
      </c>
      <c r="I210">
        <v>130.528</v>
      </c>
      <c r="J210">
        <v>352</v>
      </c>
      <c r="K210">
        <v>211</v>
      </c>
      <c r="L210">
        <v>115</v>
      </c>
      <c r="M210">
        <v>103.5</v>
      </c>
      <c r="N210">
        <v>-11</v>
      </c>
      <c r="O210">
        <v>-0.09565217391304348</v>
      </c>
      <c r="P210">
        <v>-0.13502608695652166</v>
      </c>
    </row>
    <row r="211" spans="1:16" x14ac:dyDescent="0.25">
      <c r="A211">
        <v>205</v>
      </c>
      <c r="B211" t="s">
        <v>814</v>
      </c>
      <c r="C211" t="s">
        <v>424</v>
      </c>
      <c r="D211" t="s">
        <v>255</v>
      </c>
      <c r="E211" t="s">
        <v>815</v>
      </c>
      <c r="F211" t="s">
        <v>28</v>
      </c>
      <c r="G211">
        <v>43</v>
      </c>
      <c r="H211">
        <v>4.528</v>
      </c>
      <c r="I211">
        <v>47.528</v>
      </c>
      <c r="J211">
        <v>170</v>
      </c>
      <c r="K211">
        <v>0</v>
      </c>
      <c r="L211">
        <v>22</v>
      </c>
      <c r="M211">
        <v>19.8</v>
      </c>
      <c r="N211">
        <v>-21</v>
      </c>
      <c r="O211">
        <v>-0.9545454545454546</v>
      </c>
      <c r="P211">
        <v>-1.1603636363636363</v>
      </c>
    </row>
    <row r="212" spans="1:16" x14ac:dyDescent="0.25">
      <c r="A212">
        <v>206</v>
      </c>
      <c r="B212" t="s">
        <v>816</v>
      </c>
      <c r="C212" t="s">
        <v>254</v>
      </c>
      <c r="D212" t="s">
        <v>255</v>
      </c>
      <c r="E212" t="s">
        <v>817</v>
      </c>
      <c r="F212" t="s">
        <v>28</v>
      </c>
      <c r="G212">
        <v>21</v>
      </c>
      <c r="H212">
        <v>4.528</v>
      </c>
      <c r="I212">
        <v>25.528</v>
      </c>
      <c r="J212">
        <v>13</v>
      </c>
      <c r="K212">
        <v>8</v>
      </c>
      <c r="L212">
        <v>13</v>
      </c>
      <c r="M212">
        <v>11.7</v>
      </c>
      <c r="N212">
        <v>-8</v>
      </c>
      <c r="O212">
        <v>-0.6153846153846154</v>
      </c>
      <c r="P212">
        <v>-0.9636923076923076</v>
      </c>
    </row>
    <row r="213" spans="1:16" x14ac:dyDescent="0.25">
      <c r="A213">
        <v>207</v>
      </c>
      <c r="B213" t="s">
        <v>818</v>
      </c>
      <c r="C213" t="s">
        <v>353</v>
      </c>
      <c r="D213" t="s">
        <v>255</v>
      </c>
      <c r="E213" t="s">
        <v>819</v>
      </c>
      <c r="F213" t="s">
        <v>28</v>
      </c>
      <c r="G213">
        <v>176</v>
      </c>
      <c r="H213">
        <v>4.528</v>
      </c>
      <c r="I213">
        <v>180.528</v>
      </c>
      <c r="J213">
        <v>24</v>
      </c>
      <c r="K213">
        <v>19</v>
      </c>
      <c r="L213">
        <v>165</v>
      </c>
      <c r="M213">
        <v>148.5</v>
      </c>
      <c r="N213">
        <v>-11</v>
      </c>
      <c r="O213">
        <v>-0.06666666666666667</v>
      </c>
      <c r="P213">
        <v>-0.09410909090909086</v>
      </c>
    </row>
    <row r="214" spans="1:16" x14ac:dyDescent="0.25">
      <c r="A214">
        <v>208</v>
      </c>
      <c r="B214" t="s">
        <v>820</v>
      </c>
      <c r="C214" t="s">
        <v>709</v>
      </c>
      <c r="D214" t="s">
        <v>255</v>
      </c>
      <c r="E214" t="s">
        <v>821</v>
      </c>
      <c r="F214" t="s">
        <v>28</v>
      </c>
      <c r="G214">
        <v>21</v>
      </c>
      <c r="H214">
        <v>4.528</v>
      </c>
      <c r="I214">
        <v>25.528</v>
      </c>
      <c r="J214">
        <v>9</v>
      </c>
      <c r="K214">
        <v>5.5</v>
      </c>
      <c r="L214">
        <v>13</v>
      </c>
      <c r="M214">
        <v>11.7</v>
      </c>
      <c r="N214">
        <v>-8</v>
      </c>
      <c r="O214">
        <v>-0.6153846153846154</v>
      </c>
      <c r="P214">
        <v>-0.9636923076923076</v>
      </c>
    </row>
    <row r="215" spans="1:16" x14ac:dyDescent="0.25">
      <c r="A215">
        <v>209</v>
      </c>
      <c r="B215" t="s">
        <v>822</v>
      </c>
      <c r="C215" t="s">
        <v>273</v>
      </c>
      <c r="D215" t="s">
        <v>255</v>
      </c>
      <c r="E215" t="s">
        <v>823</v>
      </c>
      <c r="F215" t="s">
        <v>28</v>
      </c>
      <c r="G215">
        <v>167</v>
      </c>
      <c r="H215">
        <v>4.528</v>
      </c>
      <c r="I215">
        <v>171.528</v>
      </c>
      <c r="J215">
        <v>18</v>
      </c>
      <c r="K215">
        <v>11.5</v>
      </c>
      <c r="L215">
        <v>155</v>
      </c>
      <c r="M215">
        <v>139.5</v>
      </c>
      <c r="N215">
        <v>-12</v>
      </c>
      <c r="O215">
        <v>-0.07741935483870968</v>
      </c>
      <c r="P215">
        <v>-0.10663225806451608</v>
      </c>
    </row>
    <row r="216" spans="1:16" x14ac:dyDescent="0.25">
      <c r="A216">
        <v>210</v>
      </c>
      <c r="B216" t="s">
        <v>824</v>
      </c>
      <c r="C216" t="s">
        <v>825</v>
      </c>
      <c r="D216" t="s">
        <v>255</v>
      </c>
      <c r="E216" t="s">
        <v>826</v>
      </c>
      <c r="F216" t="s">
        <v>28</v>
      </c>
      <c r="G216">
        <v>48</v>
      </c>
      <c r="H216">
        <v>4.528</v>
      </c>
      <c r="I216">
        <v>52.528</v>
      </c>
      <c r="J216">
        <v>93</v>
      </c>
      <c r="K216">
        <v>56</v>
      </c>
      <c r="L216">
        <v>45</v>
      </c>
      <c r="M216">
        <v>40.5</v>
      </c>
      <c r="N216">
        <v>-3</v>
      </c>
      <c r="O216">
        <v>-0.06666666666666667</v>
      </c>
      <c r="P216">
        <v>-0.16728888888888885</v>
      </c>
    </row>
    <row r="217" spans="1:16" x14ac:dyDescent="0.25">
      <c r="A217">
        <v>211</v>
      </c>
      <c r="B217" t="s">
        <v>827</v>
      </c>
      <c r="C217" t="s">
        <v>828</v>
      </c>
      <c r="D217" t="s">
        <v>255</v>
      </c>
      <c r="E217" t="s">
        <v>829</v>
      </c>
      <c r="F217" t="s">
        <v>28</v>
      </c>
      <c r="G217">
        <v>13</v>
      </c>
      <c r="H217">
        <v>4.528</v>
      </c>
      <c r="I217">
        <v>17.528</v>
      </c>
      <c r="J217">
        <v>6</v>
      </c>
      <c r="K217">
        <v>5</v>
      </c>
      <c r="L217">
        <v>9</v>
      </c>
      <c r="M217">
        <v>8.1</v>
      </c>
      <c r="N217">
        <v>-4</v>
      </c>
      <c r="O217">
        <v>-0.4444444444444444</v>
      </c>
      <c r="P217">
        <v>-0.9475555555555554</v>
      </c>
    </row>
    <row r="218" spans="1:16" x14ac:dyDescent="0.25">
      <c r="A218">
        <v>212</v>
      </c>
      <c r="B218" t="s">
        <v>830</v>
      </c>
      <c r="C218" t="s">
        <v>831</v>
      </c>
      <c r="D218" t="s">
        <v>255</v>
      </c>
      <c r="E218" t="s">
        <v>832</v>
      </c>
      <c r="F218" t="s">
        <v>28</v>
      </c>
      <c r="G218">
        <v>48</v>
      </c>
      <c r="H218">
        <v>4.528</v>
      </c>
      <c r="I218">
        <v>52.528</v>
      </c>
      <c r="J218">
        <v>93</v>
      </c>
      <c r="K218">
        <v>56</v>
      </c>
      <c r="L218">
        <v>45</v>
      </c>
      <c r="M218">
        <v>40.5</v>
      </c>
      <c r="N218">
        <v>-3</v>
      </c>
      <c r="O218">
        <v>-0.06666666666666667</v>
      </c>
      <c r="P218">
        <v>-0.16728888888888885</v>
      </c>
    </row>
    <row r="219" spans="1:16" x14ac:dyDescent="0.25">
      <c r="A219">
        <v>213</v>
      </c>
      <c r="B219" t="s">
        <v>833</v>
      </c>
      <c r="C219" t="s">
        <v>834</v>
      </c>
      <c r="D219" t="s">
        <v>255</v>
      </c>
      <c r="E219" t="s">
        <v>835</v>
      </c>
      <c r="F219" t="s">
        <v>28</v>
      </c>
      <c r="G219">
        <v>203</v>
      </c>
      <c r="H219">
        <v>4.528</v>
      </c>
      <c r="I219">
        <v>207.528</v>
      </c>
      <c r="J219">
        <v>470</v>
      </c>
      <c r="K219">
        <v>0</v>
      </c>
      <c r="L219">
        <v>190</v>
      </c>
      <c r="M219">
        <v>171</v>
      </c>
      <c r="N219">
        <v>-13</v>
      </c>
      <c r="O219">
        <v>-0.06842105263157895</v>
      </c>
      <c r="P219">
        <v>-0.09225263157894732</v>
      </c>
    </row>
    <row r="220" spans="1:16" x14ac:dyDescent="0.25">
      <c r="A220">
        <v>214</v>
      </c>
      <c r="B220" t="s">
        <v>836</v>
      </c>
      <c r="C220" t="s">
        <v>837</v>
      </c>
      <c r="D220" t="s">
        <v>255</v>
      </c>
      <c r="E220" t="s">
        <v>838</v>
      </c>
      <c r="F220" t="s">
        <v>28</v>
      </c>
      <c r="G220">
        <v>4</v>
      </c>
      <c r="H220">
        <v>4.528</v>
      </c>
      <c r="I220">
        <v>8.527999999999999</v>
      </c>
      <c r="J220">
        <v>4</v>
      </c>
      <c r="K220">
        <v>2.5</v>
      </c>
      <c r="L220">
        <v>3.7</v>
      </c>
      <c r="M220">
        <v>3.33</v>
      </c>
      <c r="N220">
        <v>-0.2999999999999998</v>
      </c>
      <c r="O220">
        <v>-0.08108108108108103</v>
      </c>
      <c r="P220">
        <v>-1.3048648648648644</v>
      </c>
    </row>
    <row r="221" spans="1:16" x14ac:dyDescent="0.25">
      <c r="A221">
        <v>215</v>
      </c>
      <c r="B221" t="s">
        <v>839</v>
      </c>
      <c r="C221" t="s">
        <v>840</v>
      </c>
      <c r="D221" t="s">
        <v>255</v>
      </c>
      <c r="E221" t="s">
        <v>841</v>
      </c>
      <c r="F221" t="s">
        <v>28</v>
      </c>
      <c r="G221">
        <v>8</v>
      </c>
      <c r="H221">
        <v>4.528</v>
      </c>
      <c r="I221">
        <v>12.527999999999999</v>
      </c>
      <c r="J221">
        <v>7</v>
      </c>
      <c r="K221">
        <v>3.5</v>
      </c>
      <c r="L221">
        <v>7</v>
      </c>
      <c r="M221">
        <v>6.3</v>
      </c>
      <c r="N221">
        <v>-1</v>
      </c>
      <c r="O221">
        <v>-0.14285714285714285</v>
      </c>
      <c r="P221">
        <v>-0.7897142857142855</v>
      </c>
    </row>
    <row r="222" spans="1:16" x14ac:dyDescent="0.25">
      <c r="A222">
        <v>216</v>
      </c>
      <c r="B222" t="s">
        <v>842</v>
      </c>
      <c r="C222" t="s">
        <v>843</v>
      </c>
      <c r="D222" t="s">
        <v>255</v>
      </c>
      <c r="E222" t="s">
        <v>844</v>
      </c>
      <c r="F222" t="s">
        <v>28</v>
      </c>
      <c r="G222">
        <v>86</v>
      </c>
      <c r="H222">
        <v>4.528</v>
      </c>
      <c r="I222">
        <v>90.528</v>
      </c>
      <c r="J222">
        <v>152</v>
      </c>
      <c r="K222">
        <v>0</v>
      </c>
      <c r="L222">
        <v>80</v>
      </c>
      <c r="M222">
        <v>72</v>
      </c>
      <c r="N222">
        <v>-6</v>
      </c>
      <c r="O222">
        <v>-0.075</v>
      </c>
      <c r="P222">
        <v>-0.13160000000000008</v>
      </c>
    </row>
    <row r="223" spans="1:16" x14ac:dyDescent="0.25">
      <c r="A223">
        <v>217</v>
      </c>
      <c r="B223" t="s">
        <v>845</v>
      </c>
      <c r="C223" t="s">
        <v>846</v>
      </c>
      <c r="D223" t="s">
        <v>255</v>
      </c>
      <c r="E223" t="s">
        <v>847</v>
      </c>
      <c r="F223" t="s">
        <v>28</v>
      </c>
      <c r="G223">
        <v>18</v>
      </c>
      <c r="H223">
        <v>4.528</v>
      </c>
      <c r="I223">
        <v>22.528</v>
      </c>
      <c r="J223">
        <v>45</v>
      </c>
      <c r="K223">
        <v>27</v>
      </c>
      <c r="L223">
        <v>17</v>
      </c>
      <c r="M223">
        <v>15.3</v>
      </c>
      <c r="N223">
        <v>-1</v>
      </c>
      <c r="O223">
        <v>-0.058823529411764705</v>
      </c>
      <c r="P223">
        <v>-0.32517647058823523</v>
      </c>
    </row>
    <row r="224" spans="1:16" x14ac:dyDescent="0.25">
      <c r="A224">
        <v>218</v>
      </c>
      <c r="B224" t="s">
        <v>848</v>
      </c>
      <c r="C224" t="s">
        <v>849</v>
      </c>
      <c r="D224" t="s">
        <v>255</v>
      </c>
      <c r="E224" t="s">
        <v>850</v>
      </c>
      <c r="F224" t="s">
        <v>28</v>
      </c>
      <c r="G224">
        <v>54</v>
      </c>
      <c r="H224">
        <v>4.528</v>
      </c>
      <c r="I224">
        <v>58.528</v>
      </c>
      <c r="J224">
        <v>135</v>
      </c>
      <c r="K224">
        <v>135</v>
      </c>
      <c r="L224">
        <v>50</v>
      </c>
      <c r="M224">
        <v>45</v>
      </c>
      <c r="N224">
        <v>-4</v>
      </c>
      <c r="O224">
        <v>-0.08</v>
      </c>
      <c r="P224">
        <v>-0.17055999999999996</v>
      </c>
    </row>
    <row r="225" spans="1:16" x14ac:dyDescent="0.25">
      <c r="A225">
        <v>219</v>
      </c>
      <c r="B225" t="s">
        <v>851</v>
      </c>
      <c r="C225" t="s">
        <v>852</v>
      </c>
      <c r="D225" t="s">
        <v>255</v>
      </c>
      <c r="E225" t="s">
        <v>853</v>
      </c>
      <c r="F225" t="s">
        <v>28</v>
      </c>
      <c r="G225">
        <v>14</v>
      </c>
      <c r="H225">
        <v>4.528</v>
      </c>
      <c r="I225">
        <v>18.528</v>
      </c>
      <c r="J225">
        <v>5</v>
      </c>
      <c r="K225">
        <v>2.5</v>
      </c>
      <c r="L225">
        <v>8</v>
      </c>
      <c r="M225">
        <v>7.2</v>
      </c>
      <c r="N225">
        <v>-6</v>
      </c>
      <c r="O225">
        <v>-0.75</v>
      </c>
      <c r="P225">
        <v>-1.3159999999999998</v>
      </c>
    </row>
    <row r="226" spans="1:16" x14ac:dyDescent="0.25">
      <c r="A226">
        <v>220</v>
      </c>
      <c r="B226" t="s">
        <v>854</v>
      </c>
      <c r="C226" t="s">
        <v>356</v>
      </c>
      <c r="D226" t="s">
        <v>255</v>
      </c>
      <c r="E226" t="s">
        <v>855</v>
      </c>
      <c r="F226" t="s">
        <v>28</v>
      </c>
      <c r="G226">
        <v>43</v>
      </c>
      <c r="H226">
        <v>4.528</v>
      </c>
      <c r="I226">
        <v>47.528</v>
      </c>
      <c r="J226">
        <v>54</v>
      </c>
      <c r="K226">
        <v>32.5</v>
      </c>
      <c r="L226">
        <v>40</v>
      </c>
      <c r="M226">
        <v>36</v>
      </c>
      <c r="N226">
        <v>-3</v>
      </c>
      <c r="O226">
        <v>-0.075</v>
      </c>
      <c r="P226">
        <v>-0.18819999999999998</v>
      </c>
    </row>
    <row r="227" spans="1:16" x14ac:dyDescent="0.25">
      <c r="A227">
        <v>221</v>
      </c>
      <c r="B227" t="s">
        <v>856</v>
      </c>
      <c r="C227" t="s">
        <v>857</v>
      </c>
      <c r="D227" t="s">
        <v>255</v>
      </c>
      <c r="E227" t="s">
        <v>858</v>
      </c>
      <c r="F227" t="s">
        <v>28</v>
      </c>
      <c r="G227">
        <v>14</v>
      </c>
      <c r="H227">
        <v>4.528</v>
      </c>
      <c r="I227">
        <v>18.528</v>
      </c>
      <c r="J227">
        <v>11</v>
      </c>
      <c r="K227">
        <v>9.5</v>
      </c>
      <c r="L227">
        <v>13</v>
      </c>
      <c r="M227">
        <v>11.7</v>
      </c>
      <c r="N227">
        <v>-1</v>
      </c>
      <c r="O227">
        <v>-0.07692307692307693</v>
      </c>
      <c r="P227">
        <v>-0.42523076923076913</v>
      </c>
    </row>
    <row r="228" spans="1:16" x14ac:dyDescent="0.25">
      <c r="A228">
        <v>222</v>
      </c>
      <c r="B228" t="s">
        <v>859</v>
      </c>
      <c r="C228" t="s">
        <v>860</v>
      </c>
      <c r="D228" t="s">
        <v>255</v>
      </c>
      <c r="E228" t="s">
        <v>861</v>
      </c>
      <c r="F228" t="s">
        <v>28</v>
      </c>
      <c r="G228">
        <v>14</v>
      </c>
      <c r="H228">
        <v>4.528</v>
      </c>
      <c r="I228">
        <v>18.528</v>
      </c>
      <c r="J228">
        <v>12</v>
      </c>
      <c r="K228">
        <v>9.5</v>
      </c>
      <c r="L228">
        <v>10</v>
      </c>
      <c r="M228">
        <v>9</v>
      </c>
      <c r="N228">
        <v>-4</v>
      </c>
      <c r="O228">
        <v>-0.4</v>
      </c>
      <c r="P228">
        <v>-0.8527999999999999</v>
      </c>
    </row>
    <row r="229" spans="1:16" x14ac:dyDescent="0.25">
      <c r="A229">
        <v>223</v>
      </c>
      <c r="B229" t="s">
        <v>862</v>
      </c>
      <c r="C229" t="s">
        <v>863</v>
      </c>
      <c r="D229" t="s">
        <v>255</v>
      </c>
      <c r="E229" t="s">
        <v>864</v>
      </c>
      <c r="F229" t="s">
        <v>28</v>
      </c>
      <c r="G229">
        <v>14</v>
      </c>
      <c r="H229">
        <v>4.528</v>
      </c>
      <c r="I229">
        <v>18.528</v>
      </c>
      <c r="J229">
        <v>15</v>
      </c>
      <c r="K229">
        <v>12</v>
      </c>
      <c r="L229">
        <v>10</v>
      </c>
      <c r="M229">
        <v>9</v>
      </c>
      <c r="N229">
        <v>-4</v>
      </c>
      <c r="O229">
        <v>-0.4</v>
      </c>
      <c r="P229">
        <v>-0.8527999999999999</v>
      </c>
    </row>
    <row r="230" spans="1:16" x14ac:dyDescent="0.25">
      <c r="A230">
        <v>224</v>
      </c>
      <c r="B230" t="s">
        <v>865</v>
      </c>
      <c r="C230" t="s">
        <v>866</v>
      </c>
      <c r="D230" t="s">
        <v>255</v>
      </c>
      <c r="E230" t="s">
        <v>867</v>
      </c>
      <c r="F230" t="s">
        <v>28</v>
      </c>
      <c r="G230">
        <v>14</v>
      </c>
      <c r="H230">
        <v>4.528</v>
      </c>
      <c r="I230">
        <v>18.528</v>
      </c>
      <c r="J230">
        <v>14</v>
      </c>
      <c r="K230">
        <v>11</v>
      </c>
      <c r="L230">
        <v>10</v>
      </c>
      <c r="M230">
        <v>9</v>
      </c>
      <c r="N230">
        <v>-4</v>
      </c>
      <c r="O230">
        <v>-0.4</v>
      </c>
      <c r="P230">
        <v>-0.8527999999999999</v>
      </c>
    </row>
    <row r="231" spans="1:16" x14ac:dyDescent="0.25">
      <c r="A231">
        <v>225</v>
      </c>
      <c r="B231" t="s">
        <v>868</v>
      </c>
      <c r="C231" t="s">
        <v>869</v>
      </c>
      <c r="D231" t="s">
        <v>255</v>
      </c>
      <c r="E231" t="s">
        <v>870</v>
      </c>
      <c r="F231" t="s">
        <v>28</v>
      </c>
      <c r="G231">
        <v>14</v>
      </c>
      <c r="H231">
        <v>4.528</v>
      </c>
      <c r="I231">
        <v>18.528</v>
      </c>
      <c r="J231">
        <v>12</v>
      </c>
      <c r="K231">
        <v>9.5</v>
      </c>
      <c r="L231">
        <v>10</v>
      </c>
      <c r="M231">
        <v>9</v>
      </c>
      <c r="N231">
        <v>-4</v>
      </c>
      <c r="O231">
        <v>-0.4</v>
      </c>
      <c r="P231">
        <v>-0.8527999999999999</v>
      </c>
    </row>
    <row r="232" spans="1:16" x14ac:dyDescent="0.25">
      <c r="A232">
        <v>226</v>
      </c>
      <c r="B232" t="s">
        <v>871</v>
      </c>
      <c r="C232" t="s">
        <v>872</v>
      </c>
      <c r="D232" t="s">
        <v>255</v>
      </c>
      <c r="E232" t="s">
        <v>873</v>
      </c>
      <c r="F232" t="s">
        <v>28</v>
      </c>
      <c r="G232">
        <v>24</v>
      </c>
      <c r="H232">
        <v>4.528</v>
      </c>
      <c r="I232">
        <v>28.528</v>
      </c>
      <c r="J232">
        <v>57</v>
      </c>
      <c r="K232">
        <v>34</v>
      </c>
      <c r="L232">
        <v>16</v>
      </c>
      <c r="M232">
        <v>14.4</v>
      </c>
      <c r="N232">
        <v>-8</v>
      </c>
      <c r="O232">
        <v>-0.5</v>
      </c>
      <c r="P232">
        <v>-0.7829999999999999</v>
      </c>
    </row>
    <row r="233" spans="1:16" x14ac:dyDescent="0.25">
      <c r="A233">
        <v>227</v>
      </c>
      <c r="B233" t="s">
        <v>874</v>
      </c>
      <c r="C233" t="s">
        <v>875</v>
      </c>
      <c r="D233" t="s">
        <v>255</v>
      </c>
      <c r="E233" t="s">
        <v>876</v>
      </c>
      <c r="F233" t="s">
        <v>28</v>
      </c>
      <c r="G233">
        <v>22</v>
      </c>
      <c r="H233">
        <v>4.528</v>
      </c>
      <c r="I233">
        <v>26.528</v>
      </c>
      <c r="J233">
        <v>10</v>
      </c>
      <c r="K233">
        <v>8</v>
      </c>
      <c r="L233">
        <v>15</v>
      </c>
      <c r="M233">
        <v>13.5</v>
      </c>
      <c r="N233">
        <v>-7</v>
      </c>
      <c r="O233">
        <v>-0.4666666666666667</v>
      </c>
      <c r="P233">
        <v>-0.7685333333333333</v>
      </c>
    </row>
    <row r="234" spans="1:16" x14ac:dyDescent="0.25">
      <c r="A234">
        <v>228</v>
      </c>
      <c r="B234" t="s">
        <v>877</v>
      </c>
      <c r="C234" t="s">
        <v>878</v>
      </c>
      <c r="D234" t="s">
        <v>255</v>
      </c>
      <c r="E234" t="s">
        <v>879</v>
      </c>
      <c r="F234" t="s">
        <v>28</v>
      </c>
      <c r="G234">
        <v>6</v>
      </c>
      <c r="H234">
        <v>4.528</v>
      </c>
      <c r="I234">
        <v>10.527999999999999</v>
      </c>
      <c r="J234">
        <v>12</v>
      </c>
      <c r="K234">
        <v>9.5</v>
      </c>
      <c r="L234">
        <v>6</v>
      </c>
      <c r="M234">
        <v>5.4</v>
      </c>
      <c r="N234">
        <v>0</v>
      </c>
      <c r="O234">
        <v>0</v>
      </c>
      <c r="P234">
        <v>-0.7546666666666665</v>
      </c>
    </row>
    <row r="235" spans="1:16" x14ac:dyDescent="0.25">
      <c r="A235">
        <v>229</v>
      </c>
      <c r="B235" t="s">
        <v>880</v>
      </c>
      <c r="C235" t="s">
        <v>881</v>
      </c>
      <c r="D235" t="s">
        <v>255</v>
      </c>
      <c r="E235" t="s">
        <v>882</v>
      </c>
      <c r="F235" t="s">
        <v>28</v>
      </c>
      <c r="G235">
        <v>30</v>
      </c>
      <c r="H235">
        <v>4.528</v>
      </c>
      <c r="I235">
        <v>34.528</v>
      </c>
      <c r="J235">
        <v>43</v>
      </c>
      <c r="K235">
        <v>26</v>
      </c>
      <c r="L235">
        <v>20</v>
      </c>
      <c r="M235">
        <v>18</v>
      </c>
      <c r="N235">
        <v>-10</v>
      </c>
      <c r="O235">
        <v>-0.5</v>
      </c>
      <c r="P235">
        <v>-0.7263999999999999</v>
      </c>
    </row>
    <row r="236" spans="1:16" x14ac:dyDescent="0.25">
      <c r="A236">
        <v>230</v>
      </c>
      <c r="B236" t="s">
        <v>883</v>
      </c>
      <c r="C236" t="s">
        <v>884</v>
      </c>
      <c r="D236" t="s">
        <v>255</v>
      </c>
      <c r="E236" t="s">
        <v>885</v>
      </c>
      <c r="F236" t="s">
        <v>28</v>
      </c>
      <c r="G236">
        <v>3</v>
      </c>
      <c r="H236">
        <v>4.528</v>
      </c>
      <c r="I236">
        <v>7.528</v>
      </c>
      <c r="J236">
        <v>3</v>
      </c>
      <c r="K236">
        <v>2.5</v>
      </c>
      <c r="L236">
        <v>2.8</v>
      </c>
      <c r="M236">
        <v>2.52</v>
      </c>
      <c r="N236">
        <v>-0.20000000000000018</v>
      </c>
      <c r="O236">
        <v>-0.0714285714285715</v>
      </c>
      <c r="P236">
        <v>-1.6885714285714286</v>
      </c>
    </row>
    <row r="237" spans="1:16" x14ac:dyDescent="0.25">
      <c r="A237">
        <v>231</v>
      </c>
      <c r="B237" t="s">
        <v>886</v>
      </c>
      <c r="C237" t="s">
        <v>887</v>
      </c>
      <c r="D237" t="s">
        <v>255</v>
      </c>
      <c r="E237" t="s">
        <v>888</v>
      </c>
      <c r="F237" t="s">
        <v>28</v>
      </c>
      <c r="G237">
        <v>3</v>
      </c>
      <c r="H237">
        <v>4.528</v>
      </c>
      <c r="I237">
        <v>7.528</v>
      </c>
      <c r="J237">
        <v>3</v>
      </c>
      <c r="K237">
        <v>2.5</v>
      </c>
      <c r="L237">
        <v>2.8</v>
      </c>
      <c r="M237">
        <v>2.52</v>
      </c>
      <c r="N237">
        <v>-0.20000000000000018</v>
      </c>
      <c r="O237">
        <v>-0.0714285714285715</v>
      </c>
      <c r="P237">
        <v>-1.6885714285714286</v>
      </c>
    </row>
    <row r="238" spans="1:16" x14ac:dyDescent="0.25">
      <c r="A238">
        <v>232</v>
      </c>
      <c r="B238" t="s">
        <v>889</v>
      </c>
      <c r="C238" t="s">
        <v>389</v>
      </c>
      <c r="D238" t="s">
        <v>255</v>
      </c>
      <c r="E238" t="s">
        <v>890</v>
      </c>
      <c r="F238" t="s">
        <v>28</v>
      </c>
      <c r="G238">
        <v>17</v>
      </c>
      <c r="H238">
        <v>4.528</v>
      </c>
      <c r="I238">
        <v>21.528</v>
      </c>
      <c r="J238">
        <v>38</v>
      </c>
      <c r="K238">
        <v>23</v>
      </c>
      <c r="L238">
        <v>14</v>
      </c>
      <c r="M238">
        <v>12.6</v>
      </c>
      <c r="N238">
        <v>-3</v>
      </c>
      <c r="O238">
        <v>-0.21428571428571427</v>
      </c>
      <c r="P238">
        <v>-0.5377142857142856</v>
      </c>
    </row>
    <row r="239" spans="1:16" x14ac:dyDescent="0.25">
      <c r="A239">
        <v>233</v>
      </c>
      <c r="B239" t="s">
        <v>891</v>
      </c>
      <c r="C239" t="s">
        <v>389</v>
      </c>
      <c r="D239" t="s">
        <v>255</v>
      </c>
      <c r="E239" t="s">
        <v>892</v>
      </c>
      <c r="F239" t="s">
        <v>28</v>
      </c>
      <c r="G239">
        <v>18</v>
      </c>
      <c r="H239">
        <v>4.528</v>
      </c>
      <c r="I239">
        <v>22.528</v>
      </c>
      <c r="J239">
        <v>38</v>
      </c>
      <c r="K239">
        <v>23</v>
      </c>
      <c r="L239">
        <v>17</v>
      </c>
      <c r="M239">
        <v>15.3</v>
      </c>
      <c r="N239">
        <v>-1</v>
      </c>
      <c r="O239">
        <v>-0.058823529411764705</v>
      </c>
      <c r="P239">
        <v>-0.32517647058823523</v>
      </c>
    </row>
    <row r="240" spans="1:16" x14ac:dyDescent="0.25">
      <c r="A240">
        <v>234</v>
      </c>
      <c r="B240" t="s">
        <v>893</v>
      </c>
      <c r="C240" t="s">
        <v>894</v>
      </c>
      <c r="D240" t="s">
        <v>255</v>
      </c>
      <c r="E240" t="s">
        <v>895</v>
      </c>
      <c r="F240" t="s">
        <v>28</v>
      </c>
      <c r="G240">
        <v>4</v>
      </c>
      <c r="H240">
        <v>4.528</v>
      </c>
      <c r="I240">
        <v>8.527999999999999</v>
      </c>
      <c r="J240">
        <v>3</v>
      </c>
      <c r="K240">
        <v>3</v>
      </c>
      <c r="L240">
        <v>3.5</v>
      </c>
      <c r="M240">
        <v>3.15</v>
      </c>
      <c r="N240">
        <v>-0.5</v>
      </c>
      <c r="O240">
        <v>-0.14285714285714285</v>
      </c>
      <c r="P240">
        <v>-1.4365714285714282</v>
      </c>
    </row>
    <row r="241" spans="1:16" x14ac:dyDescent="0.25">
      <c r="A241">
        <v>235</v>
      </c>
      <c r="B241" t="s">
        <v>896</v>
      </c>
      <c r="C241" t="s">
        <v>897</v>
      </c>
      <c r="D241" t="s">
        <v>255</v>
      </c>
      <c r="E241" t="s">
        <v>898</v>
      </c>
      <c r="F241" t="s">
        <v>28</v>
      </c>
      <c r="G241">
        <v>40</v>
      </c>
      <c r="H241">
        <v>4.528</v>
      </c>
      <c r="I241">
        <v>44.528</v>
      </c>
      <c r="J241">
        <v>98</v>
      </c>
      <c r="K241">
        <v>59</v>
      </c>
      <c r="L241">
        <v>37</v>
      </c>
      <c r="M241">
        <v>33.3</v>
      </c>
      <c r="N241">
        <v>-3</v>
      </c>
      <c r="O241">
        <v>-0.08108108108108109</v>
      </c>
      <c r="P241">
        <v>-0.20345945945945942</v>
      </c>
    </row>
    <row r="242" spans="1:16" x14ac:dyDescent="0.25">
      <c r="A242">
        <v>236</v>
      </c>
      <c r="B242" t="s">
        <v>899</v>
      </c>
      <c r="C242" t="s">
        <v>900</v>
      </c>
      <c r="D242" t="s">
        <v>255</v>
      </c>
      <c r="E242" t="s">
        <v>901</v>
      </c>
      <c r="F242" t="s">
        <v>28</v>
      </c>
      <c r="G242">
        <v>32</v>
      </c>
      <c r="H242">
        <v>4.528</v>
      </c>
      <c r="I242">
        <v>36.528</v>
      </c>
      <c r="J242">
        <v>24</v>
      </c>
      <c r="K242">
        <v>22</v>
      </c>
      <c r="L242">
        <v>30</v>
      </c>
      <c r="M242">
        <v>27</v>
      </c>
      <c r="N242">
        <v>-2</v>
      </c>
      <c r="O242">
        <v>-0.06666666666666667</v>
      </c>
      <c r="P242">
        <v>-0.21759999999999996</v>
      </c>
    </row>
    <row r="243" spans="1:16" x14ac:dyDescent="0.25">
      <c r="A243">
        <v>237</v>
      </c>
      <c r="B243" t="s">
        <v>902</v>
      </c>
      <c r="C243" t="s">
        <v>903</v>
      </c>
      <c r="D243" t="s">
        <v>255</v>
      </c>
      <c r="E243" t="s">
        <v>904</v>
      </c>
      <c r="F243" t="s">
        <v>28</v>
      </c>
      <c r="G243">
        <v>135</v>
      </c>
      <c r="H243">
        <v>4.528</v>
      </c>
      <c r="I243">
        <v>139.528</v>
      </c>
      <c r="J243">
        <v>352</v>
      </c>
      <c r="K243">
        <v>211</v>
      </c>
      <c r="L243">
        <v>125</v>
      </c>
      <c r="M243">
        <v>112.5</v>
      </c>
      <c r="N243">
        <v>-10</v>
      </c>
      <c r="O243">
        <v>-0.08</v>
      </c>
      <c r="P243">
        <v>-0.11622399999999994</v>
      </c>
    </row>
    <row r="244" spans="1:16" x14ac:dyDescent="0.25">
      <c r="A244">
        <v>238</v>
      </c>
      <c r="B244" t="s">
        <v>905</v>
      </c>
      <c r="C244" t="s">
        <v>906</v>
      </c>
      <c r="D244" t="s">
        <v>255</v>
      </c>
      <c r="E244" t="s">
        <v>907</v>
      </c>
      <c r="F244" t="s">
        <v>28</v>
      </c>
      <c r="G244">
        <v>6</v>
      </c>
      <c r="H244">
        <v>4.528</v>
      </c>
      <c r="I244">
        <v>10.527999999999999</v>
      </c>
      <c r="J244">
        <v>7</v>
      </c>
      <c r="K244">
        <v>3.5</v>
      </c>
      <c r="L244">
        <v>6</v>
      </c>
      <c r="M244">
        <v>5.4</v>
      </c>
      <c r="N244">
        <v>0</v>
      </c>
      <c r="O244">
        <v>0</v>
      </c>
      <c r="P244">
        <v>-0.7546666666666665</v>
      </c>
    </row>
    <row r="245" spans="1:16" x14ac:dyDescent="0.25">
      <c r="A245">
        <v>239</v>
      </c>
      <c r="B245" t="s">
        <v>908</v>
      </c>
      <c r="C245" t="s">
        <v>909</v>
      </c>
      <c r="D245" t="s">
        <v>255</v>
      </c>
      <c r="E245" t="s">
        <v>910</v>
      </c>
      <c r="F245" t="s">
        <v>28</v>
      </c>
      <c r="G245">
        <v>70</v>
      </c>
      <c r="H245">
        <v>4.528</v>
      </c>
      <c r="I245">
        <v>74.528</v>
      </c>
      <c r="J245">
        <v>119</v>
      </c>
      <c r="K245">
        <v>71.5</v>
      </c>
      <c r="L245">
        <v>65</v>
      </c>
      <c r="M245">
        <v>58.5</v>
      </c>
      <c r="N245">
        <v>-5</v>
      </c>
      <c r="O245">
        <v>-0.07692307692307693</v>
      </c>
      <c r="P245">
        <v>-0.14658461538461548</v>
      </c>
    </row>
    <row r="246" spans="1:16" x14ac:dyDescent="0.25">
      <c r="A246">
        <v>240</v>
      </c>
      <c r="B246" t="s">
        <v>911</v>
      </c>
      <c r="C246" t="s">
        <v>912</v>
      </c>
      <c r="D246" t="s">
        <v>255</v>
      </c>
      <c r="E246" t="s">
        <v>913</v>
      </c>
      <c r="F246" t="s">
        <v>28</v>
      </c>
      <c r="G246">
        <v>70</v>
      </c>
      <c r="H246">
        <v>4.528</v>
      </c>
      <c r="I246">
        <v>74.528</v>
      </c>
      <c r="J246">
        <v>119</v>
      </c>
      <c r="K246">
        <v>71.5</v>
      </c>
      <c r="L246">
        <v>65</v>
      </c>
      <c r="M246">
        <v>58.5</v>
      </c>
      <c r="N246">
        <v>-5</v>
      </c>
      <c r="O246">
        <v>-0.07692307692307693</v>
      </c>
      <c r="P246">
        <v>-0.14658461538461548</v>
      </c>
    </row>
    <row r="247" spans="1:16" x14ac:dyDescent="0.25">
      <c r="A247">
        <v>241</v>
      </c>
      <c r="B247" t="s">
        <v>914</v>
      </c>
      <c r="C247" t="s">
        <v>915</v>
      </c>
      <c r="D247" t="s">
        <v>255</v>
      </c>
      <c r="E247" t="s">
        <v>916</v>
      </c>
      <c r="F247" t="s">
        <v>28</v>
      </c>
      <c r="G247">
        <v>29</v>
      </c>
      <c r="H247">
        <v>4.528</v>
      </c>
      <c r="I247">
        <v>33.528</v>
      </c>
      <c r="J247">
        <v>46</v>
      </c>
      <c r="K247">
        <v>34.5</v>
      </c>
      <c r="L247">
        <v>21</v>
      </c>
      <c r="M247">
        <v>18.9</v>
      </c>
      <c r="N247">
        <v>-8</v>
      </c>
      <c r="O247">
        <v>-0.38095238095238093</v>
      </c>
      <c r="P247">
        <v>-0.5965714285714285</v>
      </c>
    </row>
    <row r="248" spans="1:16" x14ac:dyDescent="0.25">
      <c r="A248">
        <v>242</v>
      </c>
      <c r="B248" t="s">
        <v>917</v>
      </c>
      <c r="C248" t="s">
        <v>918</v>
      </c>
      <c r="D248" t="s">
        <v>255</v>
      </c>
      <c r="E248" t="s">
        <v>919</v>
      </c>
      <c r="F248" t="s">
        <v>28</v>
      </c>
      <c r="G248">
        <v>70</v>
      </c>
      <c r="H248">
        <v>4.528</v>
      </c>
      <c r="I248">
        <v>74.528</v>
      </c>
      <c r="J248">
        <v>119</v>
      </c>
      <c r="K248">
        <v>95</v>
      </c>
      <c r="L248">
        <v>31</v>
      </c>
      <c r="M248">
        <v>27.9</v>
      </c>
      <c r="N248">
        <v>-39</v>
      </c>
      <c r="O248">
        <v>-1.2580645161290323</v>
      </c>
      <c r="P248">
        <v>-1.4041290322580646</v>
      </c>
    </row>
    <row r="249" spans="1:16" x14ac:dyDescent="0.25">
      <c r="A249">
        <v>243</v>
      </c>
      <c r="B249" t="s">
        <v>920</v>
      </c>
      <c r="C249" t="s">
        <v>921</v>
      </c>
      <c r="D249" t="s">
        <v>255</v>
      </c>
      <c r="E249" t="s">
        <v>922</v>
      </c>
      <c r="F249" t="s">
        <v>28</v>
      </c>
      <c r="G249">
        <v>70</v>
      </c>
      <c r="H249">
        <v>4.528</v>
      </c>
      <c r="I249">
        <v>74.528</v>
      </c>
      <c r="J249">
        <v>119</v>
      </c>
      <c r="K249">
        <v>71.5</v>
      </c>
      <c r="L249">
        <v>34</v>
      </c>
      <c r="M249">
        <v>30.6</v>
      </c>
      <c r="N249">
        <v>-36</v>
      </c>
      <c r="O249">
        <v>-1.0588235294117647</v>
      </c>
      <c r="P249">
        <v>-1.1920000000000002</v>
      </c>
    </row>
    <row r="250" spans="1:16" x14ac:dyDescent="0.25">
      <c r="A250">
        <v>244</v>
      </c>
      <c r="B250" t="s">
        <v>923</v>
      </c>
      <c r="C250" t="s">
        <v>924</v>
      </c>
      <c r="D250" t="s">
        <v>255</v>
      </c>
      <c r="E250" t="s">
        <v>925</v>
      </c>
      <c r="F250" t="s">
        <v>28</v>
      </c>
      <c r="G250">
        <v>35</v>
      </c>
      <c r="H250">
        <v>4.528</v>
      </c>
      <c r="I250">
        <v>39.528</v>
      </c>
      <c r="J250">
        <v>16</v>
      </c>
      <c r="K250">
        <v>9.5</v>
      </c>
      <c r="L250">
        <v>27</v>
      </c>
      <c r="M250">
        <v>24.3</v>
      </c>
      <c r="N250">
        <v>-8</v>
      </c>
      <c r="O250">
        <v>-0.2962962962962963</v>
      </c>
      <c r="P250">
        <v>-0.46399999999999997</v>
      </c>
    </row>
    <row r="251" spans="1:16" x14ac:dyDescent="0.25">
      <c r="A251">
        <v>245</v>
      </c>
      <c r="B251" t="s">
        <v>926</v>
      </c>
      <c r="C251" t="s">
        <v>927</v>
      </c>
      <c r="D251" t="s">
        <v>255</v>
      </c>
      <c r="E251" t="s">
        <v>928</v>
      </c>
      <c r="F251" t="s">
        <v>28</v>
      </c>
      <c r="G251">
        <v>70</v>
      </c>
      <c r="H251">
        <v>4.528</v>
      </c>
      <c r="I251">
        <v>74.528</v>
      </c>
      <c r="J251">
        <v>119</v>
      </c>
      <c r="K251">
        <v>71.5</v>
      </c>
      <c r="L251">
        <v>34</v>
      </c>
      <c r="M251">
        <v>30.6</v>
      </c>
      <c r="N251">
        <v>-36</v>
      </c>
      <c r="O251">
        <v>-1.0588235294117647</v>
      </c>
      <c r="P251">
        <v>-1.1920000000000002</v>
      </c>
    </row>
    <row r="252" spans="1:16" x14ac:dyDescent="0.25">
      <c r="A252">
        <v>246</v>
      </c>
      <c r="B252" t="s">
        <v>929</v>
      </c>
      <c r="C252" t="s">
        <v>930</v>
      </c>
      <c r="D252" t="s">
        <v>255</v>
      </c>
      <c r="E252" t="s">
        <v>931</v>
      </c>
      <c r="F252" t="s">
        <v>28</v>
      </c>
      <c r="G252">
        <v>70</v>
      </c>
      <c r="H252">
        <v>4.528</v>
      </c>
      <c r="I252">
        <v>74.528</v>
      </c>
      <c r="J252">
        <v>119</v>
      </c>
      <c r="K252">
        <v>71.5</v>
      </c>
      <c r="L252">
        <v>34</v>
      </c>
      <c r="M252">
        <v>30.6</v>
      </c>
      <c r="N252">
        <v>-36</v>
      </c>
      <c r="O252">
        <v>-1.0588235294117647</v>
      </c>
      <c r="P252">
        <v>-1.1920000000000002</v>
      </c>
    </row>
    <row r="253" spans="1:16" x14ac:dyDescent="0.25">
      <c r="A253">
        <v>247</v>
      </c>
      <c r="B253" t="s">
        <v>932</v>
      </c>
      <c r="C253" t="s">
        <v>933</v>
      </c>
      <c r="D253" t="s">
        <v>255</v>
      </c>
      <c r="E253" t="s">
        <v>934</v>
      </c>
      <c r="F253" t="s">
        <v>28</v>
      </c>
      <c r="G253">
        <v>6</v>
      </c>
      <c r="H253">
        <v>4.528</v>
      </c>
      <c r="I253">
        <v>10.527999999999999</v>
      </c>
      <c r="J253">
        <v>16</v>
      </c>
      <c r="K253">
        <v>10.5</v>
      </c>
      <c r="L253">
        <v>6</v>
      </c>
      <c r="M253">
        <v>5.4</v>
      </c>
      <c r="N253">
        <v>0</v>
      </c>
      <c r="O253">
        <v>0</v>
      </c>
      <c r="P253">
        <v>-0.7546666666666665</v>
      </c>
    </row>
    <row r="254" spans="1:16" x14ac:dyDescent="0.25">
      <c r="A254">
        <v>248</v>
      </c>
      <c r="B254" t="s">
        <v>935</v>
      </c>
      <c r="C254" t="s">
        <v>456</v>
      </c>
      <c r="D254" t="s">
        <v>255</v>
      </c>
      <c r="E254" t="s">
        <v>936</v>
      </c>
      <c r="F254" t="s">
        <v>28</v>
      </c>
      <c r="G254">
        <v>7</v>
      </c>
      <c r="H254">
        <v>4.528</v>
      </c>
      <c r="I254">
        <v>11.527999999999999</v>
      </c>
      <c r="J254">
        <v>14</v>
      </c>
      <c r="K254">
        <v>9</v>
      </c>
      <c r="L254">
        <v>7</v>
      </c>
      <c r="M254">
        <v>6.3</v>
      </c>
      <c r="N254">
        <v>0</v>
      </c>
      <c r="O254">
        <v>0</v>
      </c>
      <c r="P254">
        <v>-0.6468571428571427</v>
      </c>
    </row>
    <row r="255" spans="1:16" x14ac:dyDescent="0.25">
      <c r="A255">
        <v>249</v>
      </c>
      <c r="B255" t="s">
        <v>937</v>
      </c>
      <c r="C255" t="s">
        <v>938</v>
      </c>
      <c r="D255" t="s">
        <v>255</v>
      </c>
      <c r="E255" t="s">
        <v>939</v>
      </c>
      <c r="F255" t="s">
        <v>28</v>
      </c>
      <c r="G255">
        <v>50</v>
      </c>
      <c r="H255">
        <v>4.528</v>
      </c>
      <c r="I255">
        <v>54.528</v>
      </c>
      <c r="J255">
        <v>122</v>
      </c>
      <c r="K255">
        <v>73</v>
      </c>
      <c r="L255">
        <v>46</v>
      </c>
      <c r="M255">
        <v>41.4</v>
      </c>
      <c r="N255">
        <v>-4</v>
      </c>
      <c r="O255">
        <v>-0.08695652173913043</v>
      </c>
      <c r="P255">
        <v>-0.18539130434782605</v>
      </c>
    </row>
    <row r="256" spans="1:16" x14ac:dyDescent="0.25">
      <c r="A256">
        <v>250</v>
      </c>
      <c r="B256" t="s">
        <v>940</v>
      </c>
      <c r="C256" t="s">
        <v>941</v>
      </c>
      <c r="D256" t="s">
        <v>255</v>
      </c>
      <c r="E256" t="s">
        <v>942</v>
      </c>
      <c r="F256" t="s">
        <v>28</v>
      </c>
      <c r="G256">
        <v>0</v>
      </c>
      <c r="H256">
        <v>4.528</v>
      </c>
      <c r="I256">
        <v>4.528</v>
      </c>
      <c r="J256">
        <v>48</v>
      </c>
      <c r="K256">
        <v>29</v>
      </c>
      <c r="L256">
        <v>48</v>
      </c>
      <c r="M256">
        <v>29</v>
      </c>
      <c r="N256">
        <v>48</v>
      </c>
      <c r="O256">
        <v>1</v>
      </c>
      <c r="P256">
        <v>0.9056666666666667</v>
      </c>
    </row>
    <row r="257" spans="1:16" x14ac:dyDescent="0.25">
      <c r="A257">
        <v>251</v>
      </c>
      <c r="B257" t="s">
        <v>940</v>
      </c>
      <c r="C257" t="s">
        <v>943</v>
      </c>
      <c r="D257" t="s">
        <v>255</v>
      </c>
      <c r="E257" t="s">
        <v>944</v>
      </c>
      <c r="F257" t="s">
        <v>28</v>
      </c>
      <c r="G257">
        <v>0</v>
      </c>
      <c r="H257">
        <v>4.528</v>
      </c>
      <c r="I257">
        <v>4.528</v>
      </c>
      <c r="J257">
        <v>48</v>
      </c>
      <c r="K257">
        <v>29</v>
      </c>
      <c r="L257">
        <v>48</v>
      </c>
      <c r="M257">
        <v>29</v>
      </c>
      <c r="N257">
        <v>48</v>
      </c>
      <c r="O257">
        <v>1</v>
      </c>
      <c r="P257">
        <v>0.9056666666666667</v>
      </c>
    </row>
    <row r="258" spans="1:16" x14ac:dyDescent="0.25">
      <c r="A258">
        <v>252</v>
      </c>
      <c r="B258" t="s">
        <v>940</v>
      </c>
      <c r="C258" t="s">
        <v>945</v>
      </c>
      <c r="D258" t="s">
        <v>255</v>
      </c>
      <c r="E258" t="s">
        <v>946</v>
      </c>
      <c r="F258" t="s">
        <v>28</v>
      </c>
      <c r="G258">
        <v>0</v>
      </c>
      <c r="H258">
        <v>4.528</v>
      </c>
      <c r="I258">
        <v>4.528</v>
      </c>
      <c r="J258">
        <v>48</v>
      </c>
      <c r="K258">
        <v>29</v>
      </c>
      <c r="L258">
        <v>48</v>
      </c>
      <c r="M258">
        <v>29</v>
      </c>
      <c r="N258">
        <v>48</v>
      </c>
      <c r="O258">
        <v>1</v>
      </c>
      <c r="P258">
        <v>0.9056666666666667</v>
      </c>
    </row>
    <row r="259" spans="1:16" x14ac:dyDescent="0.25">
      <c r="A259">
        <v>253</v>
      </c>
      <c r="B259" t="s">
        <v>940</v>
      </c>
      <c r="C259" t="s">
        <v>947</v>
      </c>
      <c r="D259" t="s">
        <v>255</v>
      </c>
      <c r="E259" t="s">
        <v>948</v>
      </c>
      <c r="F259" t="s">
        <v>28</v>
      </c>
      <c r="G259">
        <v>0</v>
      </c>
      <c r="H259">
        <v>4.528</v>
      </c>
      <c r="I259">
        <v>4.528</v>
      </c>
      <c r="J259">
        <v>48</v>
      </c>
      <c r="K259">
        <v>29</v>
      </c>
      <c r="L259">
        <v>48</v>
      </c>
      <c r="M259">
        <v>29</v>
      </c>
      <c r="N259">
        <v>48</v>
      </c>
      <c r="O259">
        <v>1</v>
      </c>
      <c r="P259">
        <v>0.9056666666666667</v>
      </c>
    </row>
    <row r="260" spans="1:16" x14ac:dyDescent="0.25">
      <c r="A260">
        <v>254</v>
      </c>
      <c r="B260" t="s">
        <v>940</v>
      </c>
      <c r="C260" t="s">
        <v>949</v>
      </c>
      <c r="D260" t="s">
        <v>255</v>
      </c>
      <c r="E260" t="s">
        <v>950</v>
      </c>
      <c r="F260" t="s">
        <v>28</v>
      </c>
      <c r="G260">
        <v>0</v>
      </c>
      <c r="H260">
        <v>4.528</v>
      </c>
      <c r="I260">
        <v>4.528</v>
      </c>
      <c r="J260">
        <v>13</v>
      </c>
      <c r="K260">
        <v>8</v>
      </c>
      <c r="L260">
        <v>13</v>
      </c>
      <c r="M260">
        <v>8</v>
      </c>
      <c r="N260">
        <v>13</v>
      </c>
      <c r="O260">
        <v>1</v>
      </c>
      <c r="P260">
        <v>0.6516923076923078</v>
      </c>
    </row>
    <row r="261" spans="1:16" x14ac:dyDescent="0.25">
      <c r="A261">
        <v>255</v>
      </c>
      <c r="B261" t="s">
        <v>940</v>
      </c>
      <c r="C261" t="s">
        <v>951</v>
      </c>
      <c r="D261" t="s">
        <v>255</v>
      </c>
      <c r="E261" t="s">
        <v>952</v>
      </c>
      <c r="F261" t="s">
        <v>28</v>
      </c>
      <c r="G261">
        <v>0</v>
      </c>
      <c r="H261">
        <v>4.528</v>
      </c>
      <c r="I261">
        <v>4.528</v>
      </c>
      <c r="J261">
        <v>14</v>
      </c>
      <c r="K261">
        <v>10.5</v>
      </c>
      <c r="L261">
        <v>14</v>
      </c>
      <c r="M261">
        <v>10.5</v>
      </c>
      <c r="N261">
        <v>14</v>
      </c>
      <c r="O261">
        <v>1</v>
      </c>
      <c r="P261">
        <v>0.6765714285714287</v>
      </c>
    </row>
    <row r="262" spans="1:16" x14ac:dyDescent="0.25">
      <c r="A262">
        <v>256</v>
      </c>
      <c r="B262" t="s">
        <v>940</v>
      </c>
      <c r="C262" t="s">
        <v>953</v>
      </c>
      <c r="D262" t="s">
        <v>255</v>
      </c>
      <c r="E262" t="s">
        <v>954</v>
      </c>
      <c r="F262" t="s">
        <v>28</v>
      </c>
      <c r="G262">
        <v>0</v>
      </c>
      <c r="H262">
        <v>4.528</v>
      </c>
      <c r="I262">
        <v>4.528</v>
      </c>
      <c r="J262">
        <v>304</v>
      </c>
      <c r="K262">
        <v>182.5</v>
      </c>
      <c r="L262">
        <v>304</v>
      </c>
      <c r="M262">
        <v>182.5</v>
      </c>
      <c r="N262">
        <v>304</v>
      </c>
      <c r="O262">
        <v>1</v>
      </c>
      <c r="P262">
        <v>0.9851052631578947</v>
      </c>
    </row>
    <row r="263" spans="1:16" x14ac:dyDescent="0.25">
      <c r="A263">
        <v>257</v>
      </c>
      <c r="B263" t="s">
        <v>940</v>
      </c>
      <c r="C263" t="s">
        <v>955</v>
      </c>
      <c r="D263" t="s">
        <v>255</v>
      </c>
      <c r="E263" t="s">
        <v>956</v>
      </c>
      <c r="F263" t="s">
        <v>28</v>
      </c>
      <c r="G263">
        <v>0</v>
      </c>
      <c r="H263">
        <v>4.528</v>
      </c>
      <c r="I263">
        <v>4.528</v>
      </c>
      <c r="J263">
        <v>52</v>
      </c>
      <c r="K263">
        <v>31</v>
      </c>
      <c r="L263">
        <v>52</v>
      </c>
      <c r="M263">
        <v>31</v>
      </c>
      <c r="N263">
        <v>52</v>
      </c>
      <c r="O263">
        <v>1</v>
      </c>
      <c r="P263">
        <v>0.912923076923077</v>
      </c>
    </row>
    <row r="264" spans="1:16" x14ac:dyDescent="0.25">
      <c r="A264">
        <v>258</v>
      </c>
      <c r="B264" t="s">
        <v>940</v>
      </c>
      <c r="C264" t="s">
        <v>957</v>
      </c>
      <c r="D264" t="s">
        <v>255</v>
      </c>
      <c r="E264" t="s">
        <v>958</v>
      </c>
      <c r="F264" t="s">
        <v>28</v>
      </c>
      <c r="G264">
        <v>0</v>
      </c>
      <c r="H264">
        <v>4.528</v>
      </c>
      <c r="I264">
        <v>4.528</v>
      </c>
      <c r="J264">
        <v>52</v>
      </c>
      <c r="K264">
        <v>31</v>
      </c>
      <c r="L264">
        <v>52</v>
      </c>
      <c r="M264">
        <v>31</v>
      </c>
      <c r="N264">
        <v>52</v>
      </c>
      <c r="O264">
        <v>1</v>
      </c>
      <c r="P264">
        <v>0.912923076923077</v>
      </c>
    </row>
    <row r="265" spans="1:16" x14ac:dyDescent="0.25">
      <c r="A265">
        <v>259</v>
      </c>
      <c r="B265" t="s">
        <v>940</v>
      </c>
      <c r="C265" t="s">
        <v>959</v>
      </c>
      <c r="D265" t="s">
        <v>255</v>
      </c>
      <c r="E265" t="s">
        <v>960</v>
      </c>
      <c r="F265" t="s">
        <v>28</v>
      </c>
      <c r="G265">
        <v>0</v>
      </c>
      <c r="H265">
        <v>4.528</v>
      </c>
      <c r="I265">
        <v>4.528</v>
      </c>
      <c r="J265">
        <v>40</v>
      </c>
      <c r="K265">
        <v>24</v>
      </c>
      <c r="L265">
        <v>40</v>
      </c>
      <c r="M265">
        <v>24</v>
      </c>
      <c r="N265">
        <v>40</v>
      </c>
      <c r="O265">
        <v>1</v>
      </c>
      <c r="P265">
        <v>0.8868</v>
      </c>
    </row>
    <row r="266" spans="1:16" x14ac:dyDescent="0.25">
      <c r="A266">
        <v>260</v>
      </c>
      <c r="B266" t="s">
        <v>940</v>
      </c>
      <c r="C266" t="s">
        <v>961</v>
      </c>
      <c r="D266" t="s">
        <v>255</v>
      </c>
      <c r="E266" t="s">
        <v>962</v>
      </c>
      <c r="F266" t="s">
        <v>28</v>
      </c>
      <c r="G266">
        <v>0</v>
      </c>
      <c r="H266">
        <v>4.528</v>
      </c>
      <c r="I266">
        <v>4.528</v>
      </c>
      <c r="J266">
        <v>39</v>
      </c>
      <c r="K266">
        <v>23.5</v>
      </c>
      <c r="L266">
        <v>39</v>
      </c>
      <c r="M266">
        <v>23.5</v>
      </c>
      <c r="N266">
        <v>39</v>
      </c>
      <c r="O266">
        <v>1</v>
      </c>
      <c r="P266">
        <v>0.883897435897436</v>
      </c>
    </row>
    <row r="267" spans="1:16" x14ac:dyDescent="0.25">
      <c r="A267">
        <v>261</v>
      </c>
      <c r="B267" t="s">
        <v>940</v>
      </c>
      <c r="C267" t="s">
        <v>963</v>
      </c>
      <c r="D267" t="s">
        <v>255</v>
      </c>
      <c r="E267" t="s">
        <v>964</v>
      </c>
      <c r="F267" t="s">
        <v>28</v>
      </c>
      <c r="G267">
        <v>0</v>
      </c>
      <c r="H267">
        <v>4.528</v>
      </c>
      <c r="I267">
        <v>4.528</v>
      </c>
      <c r="J267">
        <v>62</v>
      </c>
      <c r="K267">
        <v>37</v>
      </c>
      <c r="L267">
        <v>62</v>
      </c>
      <c r="M267">
        <v>37</v>
      </c>
      <c r="N267">
        <v>62</v>
      </c>
      <c r="O267">
        <v>1</v>
      </c>
      <c r="P267">
        <v>0.9269677419354839</v>
      </c>
    </row>
    <row r="268" spans="1:16" x14ac:dyDescent="0.25">
      <c r="A268">
        <v>262</v>
      </c>
      <c r="B268" t="s">
        <v>940</v>
      </c>
      <c r="C268" t="s">
        <v>965</v>
      </c>
      <c r="D268" t="s">
        <v>255</v>
      </c>
      <c r="E268" t="s">
        <v>966</v>
      </c>
      <c r="F268" t="s">
        <v>28</v>
      </c>
      <c r="G268">
        <v>0</v>
      </c>
      <c r="H268">
        <v>4.528</v>
      </c>
      <c r="I268">
        <v>4.528</v>
      </c>
      <c r="J268">
        <v>57</v>
      </c>
      <c r="K268">
        <v>34</v>
      </c>
      <c r="L268">
        <v>57</v>
      </c>
      <c r="M268">
        <v>34</v>
      </c>
      <c r="N268">
        <v>57</v>
      </c>
      <c r="O268">
        <v>1</v>
      </c>
      <c r="P268">
        <v>0.9205614035087719</v>
      </c>
    </row>
    <row r="269" spans="1:16" x14ac:dyDescent="0.25">
      <c r="A269">
        <v>263</v>
      </c>
      <c r="B269" t="s">
        <v>940</v>
      </c>
      <c r="C269" t="s">
        <v>967</v>
      </c>
      <c r="D269" t="s">
        <v>255</v>
      </c>
      <c r="E269" t="s">
        <v>968</v>
      </c>
      <c r="F269" t="s">
        <v>28</v>
      </c>
      <c r="G269">
        <v>0</v>
      </c>
      <c r="H269">
        <v>4.528</v>
      </c>
      <c r="I269">
        <v>4.528</v>
      </c>
      <c r="J269">
        <v>78</v>
      </c>
      <c r="K269">
        <v>47</v>
      </c>
      <c r="L269">
        <v>78</v>
      </c>
      <c r="M269">
        <v>47</v>
      </c>
      <c r="N269">
        <v>78</v>
      </c>
      <c r="O269">
        <v>1</v>
      </c>
      <c r="P269">
        <v>0.9419487179487179</v>
      </c>
    </row>
    <row r="270" spans="1:16" x14ac:dyDescent="0.25">
      <c r="A270">
        <v>264</v>
      </c>
      <c r="B270" t="s">
        <v>940</v>
      </c>
      <c r="C270" t="s">
        <v>969</v>
      </c>
      <c r="D270" t="s">
        <v>255</v>
      </c>
      <c r="E270" t="s">
        <v>970</v>
      </c>
      <c r="F270" t="s">
        <v>28</v>
      </c>
      <c r="G270">
        <v>0</v>
      </c>
      <c r="H270">
        <v>4.528</v>
      </c>
      <c r="I270">
        <v>4.528</v>
      </c>
      <c r="J270">
        <v>78</v>
      </c>
      <c r="K270">
        <v>47</v>
      </c>
      <c r="L270">
        <v>78</v>
      </c>
      <c r="M270">
        <v>47</v>
      </c>
      <c r="N270">
        <v>78</v>
      </c>
      <c r="O270">
        <v>1</v>
      </c>
      <c r="P270">
        <v>0.9419487179487179</v>
      </c>
    </row>
    <row r="271" spans="1:16" x14ac:dyDescent="0.25">
      <c r="A271">
        <v>265</v>
      </c>
      <c r="B271" t="s">
        <v>940</v>
      </c>
      <c r="C271" t="s">
        <v>971</v>
      </c>
      <c r="D271" t="s">
        <v>255</v>
      </c>
      <c r="E271" t="s">
        <v>972</v>
      </c>
      <c r="F271" t="s">
        <v>28</v>
      </c>
      <c r="G271">
        <v>0</v>
      </c>
      <c r="H271">
        <v>4.528</v>
      </c>
      <c r="I271">
        <v>4.528</v>
      </c>
      <c r="J271">
        <v>78</v>
      </c>
      <c r="K271">
        <v>47</v>
      </c>
      <c r="L271">
        <v>78</v>
      </c>
      <c r="M271">
        <v>47</v>
      </c>
      <c r="N271">
        <v>78</v>
      </c>
      <c r="O271">
        <v>1</v>
      </c>
      <c r="P271">
        <v>0.9419487179487179</v>
      </c>
    </row>
    <row r="272" spans="1:16" x14ac:dyDescent="0.25">
      <c r="A272">
        <v>266</v>
      </c>
      <c r="B272" t="s">
        <v>940</v>
      </c>
      <c r="C272" t="s">
        <v>973</v>
      </c>
      <c r="D272" t="s">
        <v>255</v>
      </c>
      <c r="E272" t="s">
        <v>974</v>
      </c>
      <c r="F272" t="s">
        <v>28</v>
      </c>
      <c r="G272">
        <v>0</v>
      </c>
      <c r="H272">
        <v>4.528</v>
      </c>
      <c r="I272">
        <v>4.528</v>
      </c>
      <c r="J272">
        <v>26</v>
      </c>
      <c r="K272">
        <v>19.5</v>
      </c>
      <c r="L272">
        <v>26</v>
      </c>
      <c r="M272">
        <v>19.5</v>
      </c>
      <c r="N272">
        <v>26</v>
      </c>
      <c r="O272">
        <v>1</v>
      </c>
      <c r="P272">
        <v>0.8258461538461539</v>
      </c>
    </row>
    <row r="273" spans="1:16" x14ac:dyDescent="0.25">
      <c r="A273">
        <v>267</v>
      </c>
      <c r="B273" t="s">
        <v>940</v>
      </c>
      <c r="C273" t="s">
        <v>975</v>
      </c>
      <c r="D273" t="s">
        <v>255</v>
      </c>
      <c r="E273" t="s">
        <v>976</v>
      </c>
      <c r="F273" t="s">
        <v>28</v>
      </c>
      <c r="G273">
        <v>0</v>
      </c>
      <c r="H273">
        <v>4.528</v>
      </c>
      <c r="I273">
        <v>4.528</v>
      </c>
      <c r="J273">
        <v>47</v>
      </c>
      <c r="K273">
        <v>28</v>
      </c>
      <c r="L273">
        <v>47</v>
      </c>
      <c r="M273">
        <v>28</v>
      </c>
      <c r="N273">
        <v>47</v>
      </c>
      <c r="O273">
        <v>1</v>
      </c>
      <c r="P273">
        <v>0.9036595744680851</v>
      </c>
    </row>
    <row r="274" spans="1:16" x14ac:dyDescent="0.25">
      <c r="A274">
        <v>268</v>
      </c>
      <c r="B274" t="s">
        <v>940</v>
      </c>
      <c r="C274" t="s">
        <v>977</v>
      </c>
      <c r="D274" t="s">
        <v>255</v>
      </c>
      <c r="E274" t="s">
        <v>978</v>
      </c>
      <c r="F274" t="s">
        <v>28</v>
      </c>
      <c r="G274">
        <v>0</v>
      </c>
      <c r="H274">
        <v>4.528</v>
      </c>
      <c r="I274">
        <v>4.528</v>
      </c>
      <c r="J274">
        <v>47</v>
      </c>
      <c r="K274">
        <v>28</v>
      </c>
      <c r="L274">
        <v>47</v>
      </c>
      <c r="M274">
        <v>28</v>
      </c>
      <c r="N274">
        <v>47</v>
      </c>
      <c r="O274">
        <v>1</v>
      </c>
      <c r="P274">
        <v>0.9036595744680851</v>
      </c>
    </row>
    <row r="275" spans="1:16" x14ac:dyDescent="0.25">
      <c r="A275">
        <v>269</v>
      </c>
      <c r="B275" t="s">
        <v>940</v>
      </c>
      <c r="C275" t="s">
        <v>979</v>
      </c>
      <c r="D275" t="s">
        <v>255</v>
      </c>
      <c r="E275" t="s">
        <v>980</v>
      </c>
      <c r="F275" t="s">
        <v>28</v>
      </c>
      <c r="G275">
        <v>0</v>
      </c>
      <c r="H275">
        <v>4.528</v>
      </c>
      <c r="I275">
        <v>4.528</v>
      </c>
      <c r="J275">
        <v>47</v>
      </c>
      <c r="K275">
        <v>28</v>
      </c>
      <c r="L275">
        <v>47</v>
      </c>
      <c r="M275">
        <v>28</v>
      </c>
      <c r="N275">
        <v>47</v>
      </c>
      <c r="O275">
        <v>1</v>
      </c>
      <c r="P275">
        <v>0.9036595744680851</v>
      </c>
    </row>
    <row r="276" spans="1:16" x14ac:dyDescent="0.25">
      <c r="A276">
        <v>270</v>
      </c>
      <c r="B276" t="s">
        <v>940</v>
      </c>
      <c r="C276" t="s">
        <v>981</v>
      </c>
      <c r="D276" t="s">
        <v>255</v>
      </c>
      <c r="E276" t="s">
        <v>982</v>
      </c>
      <c r="F276" t="s">
        <v>28</v>
      </c>
      <c r="G276">
        <v>0</v>
      </c>
      <c r="H276">
        <v>4.528</v>
      </c>
      <c r="I276">
        <v>4.528</v>
      </c>
      <c r="J276">
        <v>47</v>
      </c>
      <c r="K276">
        <v>28</v>
      </c>
      <c r="L276">
        <v>47</v>
      </c>
      <c r="M276">
        <v>28</v>
      </c>
      <c r="N276">
        <v>47</v>
      </c>
      <c r="O276">
        <v>1</v>
      </c>
      <c r="P276">
        <v>0.9036595744680851</v>
      </c>
    </row>
    <row r="277" spans="1:16" x14ac:dyDescent="0.25">
      <c r="A277">
        <v>271</v>
      </c>
      <c r="B277" t="s">
        <v>940</v>
      </c>
      <c r="C277" t="s">
        <v>983</v>
      </c>
      <c r="D277" t="s">
        <v>255</v>
      </c>
      <c r="E277" t="s">
        <v>984</v>
      </c>
      <c r="F277" t="s">
        <v>28</v>
      </c>
      <c r="G277">
        <v>0</v>
      </c>
      <c r="H277">
        <v>4.528</v>
      </c>
      <c r="I277">
        <v>4.528</v>
      </c>
      <c r="J277">
        <v>47</v>
      </c>
      <c r="K277">
        <v>28</v>
      </c>
      <c r="L277">
        <v>47</v>
      </c>
      <c r="M277">
        <v>28</v>
      </c>
      <c r="N277">
        <v>47</v>
      </c>
      <c r="O277">
        <v>1</v>
      </c>
      <c r="P277">
        <v>0.9036595744680851</v>
      </c>
    </row>
    <row r="278" spans="1:16" x14ac:dyDescent="0.25">
      <c r="A278">
        <v>272</v>
      </c>
      <c r="B278" t="s">
        <v>940</v>
      </c>
      <c r="C278" t="s">
        <v>985</v>
      </c>
      <c r="D278" t="s">
        <v>255</v>
      </c>
      <c r="E278" t="s">
        <v>986</v>
      </c>
      <c r="F278" t="s">
        <v>28</v>
      </c>
      <c r="G278">
        <v>0</v>
      </c>
      <c r="H278">
        <v>4.528</v>
      </c>
      <c r="I278">
        <v>4.528</v>
      </c>
      <c r="J278">
        <v>54</v>
      </c>
      <c r="K278">
        <v>32.5</v>
      </c>
      <c r="L278">
        <v>54</v>
      </c>
      <c r="M278">
        <v>32.5</v>
      </c>
      <c r="N278">
        <v>54</v>
      </c>
      <c r="O278">
        <v>1</v>
      </c>
      <c r="P278">
        <v>0.9161481481481482</v>
      </c>
    </row>
    <row r="279" spans="1:16" x14ac:dyDescent="0.25">
      <c r="A279">
        <v>273</v>
      </c>
      <c r="B279" t="s">
        <v>940</v>
      </c>
      <c r="C279" t="s">
        <v>987</v>
      </c>
      <c r="D279" t="s">
        <v>255</v>
      </c>
      <c r="E279" t="s">
        <v>988</v>
      </c>
      <c r="F279" t="s">
        <v>28</v>
      </c>
      <c r="G279">
        <v>0</v>
      </c>
      <c r="H279">
        <v>4.528</v>
      </c>
      <c r="I279">
        <v>4.528</v>
      </c>
      <c r="J279">
        <v>47</v>
      </c>
      <c r="K279">
        <v>28</v>
      </c>
      <c r="L279">
        <v>47</v>
      </c>
      <c r="M279">
        <v>28</v>
      </c>
      <c r="N279">
        <v>47</v>
      </c>
      <c r="O279">
        <v>1</v>
      </c>
      <c r="P279">
        <v>0.9036595744680851</v>
      </c>
    </row>
    <row r="280" spans="1:16" x14ac:dyDescent="0.25">
      <c r="A280">
        <v>274</v>
      </c>
      <c r="B280" t="s">
        <v>940</v>
      </c>
      <c r="C280" t="s">
        <v>989</v>
      </c>
      <c r="D280" t="s">
        <v>255</v>
      </c>
      <c r="E280" t="s">
        <v>990</v>
      </c>
      <c r="F280" t="s">
        <v>28</v>
      </c>
      <c r="G280">
        <v>0</v>
      </c>
      <c r="H280">
        <v>4.528</v>
      </c>
      <c r="I280">
        <v>4.528</v>
      </c>
      <c r="J280">
        <v>47</v>
      </c>
      <c r="K280">
        <v>28</v>
      </c>
      <c r="L280">
        <v>47</v>
      </c>
      <c r="M280">
        <v>28</v>
      </c>
      <c r="N280">
        <v>47</v>
      </c>
      <c r="O280">
        <v>1</v>
      </c>
      <c r="P280">
        <v>0.9036595744680851</v>
      </c>
    </row>
    <row r="281" spans="1:16" x14ac:dyDescent="0.25">
      <c r="A281">
        <v>275</v>
      </c>
      <c r="B281" t="s">
        <v>940</v>
      </c>
      <c r="C281" t="s">
        <v>991</v>
      </c>
      <c r="D281" t="s">
        <v>255</v>
      </c>
      <c r="E281" t="s">
        <v>992</v>
      </c>
      <c r="F281" t="s">
        <v>28</v>
      </c>
      <c r="G281">
        <v>0</v>
      </c>
      <c r="H281">
        <v>4.528</v>
      </c>
      <c r="I281">
        <v>4.528</v>
      </c>
      <c r="J281">
        <v>98</v>
      </c>
      <c r="K281">
        <v>59</v>
      </c>
      <c r="L281">
        <v>98</v>
      </c>
      <c r="M281">
        <v>59</v>
      </c>
      <c r="N281">
        <v>98</v>
      </c>
      <c r="O281">
        <v>1</v>
      </c>
      <c r="P281">
        <v>0.9537959183673469</v>
      </c>
    </row>
    <row r="282" spans="1:16" x14ac:dyDescent="0.25">
      <c r="A282">
        <v>276</v>
      </c>
      <c r="B282" t="s">
        <v>940</v>
      </c>
      <c r="C282" t="s">
        <v>993</v>
      </c>
      <c r="D282" t="s">
        <v>255</v>
      </c>
      <c r="E282" t="s">
        <v>994</v>
      </c>
      <c r="F282" t="s">
        <v>28</v>
      </c>
      <c r="G282">
        <v>0</v>
      </c>
      <c r="H282">
        <v>4.528</v>
      </c>
      <c r="I282">
        <v>4.528</v>
      </c>
      <c r="J282">
        <v>49</v>
      </c>
      <c r="K282">
        <v>44</v>
      </c>
      <c r="L282">
        <v>49</v>
      </c>
      <c r="M282">
        <v>44</v>
      </c>
      <c r="N282">
        <v>49</v>
      </c>
      <c r="O282">
        <v>1</v>
      </c>
      <c r="P282">
        <v>0.9075918367346939</v>
      </c>
    </row>
    <row r="283" spans="1:16" x14ac:dyDescent="0.25">
      <c r="A283">
        <v>277</v>
      </c>
      <c r="B283" t="s">
        <v>940</v>
      </c>
      <c r="C283" t="s">
        <v>995</v>
      </c>
      <c r="D283" t="s">
        <v>255</v>
      </c>
      <c r="E283" t="s">
        <v>996</v>
      </c>
      <c r="F283" t="s">
        <v>28</v>
      </c>
      <c r="G283">
        <v>0</v>
      </c>
      <c r="H283">
        <v>4.528</v>
      </c>
      <c r="I283">
        <v>4.528</v>
      </c>
      <c r="J283">
        <v>100</v>
      </c>
      <c r="K283">
        <v>60</v>
      </c>
      <c r="L283">
        <v>100</v>
      </c>
      <c r="M283">
        <v>60</v>
      </c>
      <c r="N283">
        <v>100</v>
      </c>
      <c r="O283">
        <v>1</v>
      </c>
      <c r="P283">
        <v>0.9547199999999999</v>
      </c>
    </row>
    <row r="284" spans="1:16" x14ac:dyDescent="0.25">
      <c r="A284">
        <v>278</v>
      </c>
      <c r="B284" t="s">
        <v>940</v>
      </c>
      <c r="C284" t="s">
        <v>997</v>
      </c>
      <c r="D284" t="s">
        <v>255</v>
      </c>
      <c r="E284" t="s">
        <v>998</v>
      </c>
      <c r="F284" t="s">
        <v>28</v>
      </c>
      <c r="G284">
        <v>0</v>
      </c>
      <c r="H284">
        <v>4.528</v>
      </c>
      <c r="I284">
        <v>4.528</v>
      </c>
      <c r="J284">
        <v>352</v>
      </c>
      <c r="K284">
        <v>211</v>
      </c>
      <c r="L284">
        <v>352</v>
      </c>
      <c r="M284">
        <v>211</v>
      </c>
      <c r="N284">
        <v>352</v>
      </c>
      <c r="O284">
        <v>1</v>
      </c>
      <c r="P284">
        <v>0.9871363636363636</v>
      </c>
    </row>
    <row r="285" spans="1:16" x14ac:dyDescent="0.25">
      <c r="A285">
        <v>279</v>
      </c>
      <c r="B285" t="s">
        <v>940</v>
      </c>
      <c r="C285" t="s">
        <v>999</v>
      </c>
      <c r="D285" t="s">
        <v>255</v>
      </c>
      <c r="E285" t="s">
        <v>1000</v>
      </c>
      <c r="F285" t="s">
        <v>28</v>
      </c>
      <c r="G285">
        <v>0</v>
      </c>
      <c r="H285">
        <v>4.528</v>
      </c>
      <c r="I285">
        <v>4.528</v>
      </c>
      <c r="J285">
        <v>316</v>
      </c>
      <c r="K285">
        <v>189.5</v>
      </c>
      <c r="L285">
        <v>316</v>
      </c>
      <c r="M285">
        <v>189.5</v>
      </c>
      <c r="N285">
        <v>316</v>
      </c>
      <c r="O285">
        <v>1</v>
      </c>
      <c r="P285">
        <v>0.9856708860759493</v>
      </c>
    </row>
    <row r="286" spans="1:16" x14ac:dyDescent="0.25">
      <c r="A286">
        <v>280</v>
      </c>
      <c r="B286" t="s">
        <v>940</v>
      </c>
      <c r="C286" t="s">
        <v>1001</v>
      </c>
      <c r="D286" t="s">
        <v>255</v>
      </c>
      <c r="E286" t="s">
        <v>1002</v>
      </c>
      <c r="F286" t="s">
        <v>28</v>
      </c>
      <c r="G286">
        <v>0</v>
      </c>
      <c r="H286">
        <v>4.528</v>
      </c>
      <c r="I286">
        <v>4.528</v>
      </c>
      <c r="J286">
        <v>174</v>
      </c>
      <c r="K286">
        <v>104.5</v>
      </c>
      <c r="L286">
        <v>174</v>
      </c>
      <c r="M286">
        <v>104.5</v>
      </c>
      <c r="N286">
        <v>174</v>
      </c>
      <c r="O286">
        <v>1</v>
      </c>
      <c r="P286">
        <v>0.973977011494253</v>
      </c>
    </row>
    <row r="287" spans="1:16" x14ac:dyDescent="0.25">
      <c r="A287">
        <v>281</v>
      </c>
      <c r="B287" t="s">
        <v>940</v>
      </c>
      <c r="C287" t="s">
        <v>1003</v>
      </c>
      <c r="D287" t="s">
        <v>255</v>
      </c>
      <c r="E287" t="s">
        <v>1004</v>
      </c>
      <c r="F287" t="s">
        <v>28</v>
      </c>
      <c r="G287">
        <v>0</v>
      </c>
      <c r="H287">
        <v>4.528</v>
      </c>
      <c r="I287">
        <v>4.528</v>
      </c>
      <c r="J287">
        <v>350</v>
      </c>
      <c r="K287">
        <v>210</v>
      </c>
      <c r="L287">
        <v>350</v>
      </c>
      <c r="M287">
        <v>210</v>
      </c>
      <c r="N287">
        <v>350</v>
      </c>
      <c r="O287">
        <v>1</v>
      </c>
      <c r="P287">
        <v>0.9870628571428571</v>
      </c>
    </row>
    <row r="288" spans="1:16" x14ac:dyDescent="0.25">
      <c r="A288">
        <v>282</v>
      </c>
      <c r="B288" t="s">
        <v>940</v>
      </c>
      <c r="C288" t="s">
        <v>1005</v>
      </c>
      <c r="D288" t="s">
        <v>255</v>
      </c>
      <c r="E288" t="s">
        <v>1006</v>
      </c>
      <c r="F288" t="s">
        <v>28</v>
      </c>
      <c r="G288">
        <v>0</v>
      </c>
      <c r="H288">
        <v>4.528</v>
      </c>
      <c r="I288">
        <v>4.528</v>
      </c>
      <c r="J288">
        <v>1523</v>
      </c>
      <c r="K288">
        <v>914</v>
      </c>
      <c r="L288">
        <v>1523</v>
      </c>
      <c r="M288">
        <v>914</v>
      </c>
      <c r="N288">
        <v>1523</v>
      </c>
      <c r="O288">
        <v>1</v>
      </c>
      <c r="P288">
        <v>0.997026920551543</v>
      </c>
    </row>
    <row r="289" spans="1:16" x14ac:dyDescent="0.25">
      <c r="A289">
        <v>283</v>
      </c>
      <c r="B289" t="s">
        <v>940</v>
      </c>
      <c r="C289" t="s">
        <v>1007</v>
      </c>
      <c r="D289" t="s">
        <v>255</v>
      </c>
      <c r="E289" t="s">
        <v>1008</v>
      </c>
      <c r="F289" t="s">
        <v>28</v>
      </c>
      <c r="G289">
        <v>0</v>
      </c>
      <c r="H289">
        <v>4.528</v>
      </c>
      <c r="I289">
        <v>4.528</v>
      </c>
      <c r="J289">
        <v>117</v>
      </c>
      <c r="K289">
        <v>70</v>
      </c>
      <c r="L289">
        <v>117</v>
      </c>
      <c r="M289">
        <v>70</v>
      </c>
      <c r="N289">
        <v>117</v>
      </c>
      <c r="O289">
        <v>1</v>
      </c>
      <c r="P289">
        <v>0.9612991452991453</v>
      </c>
    </row>
    <row r="290" spans="1:16" x14ac:dyDescent="0.25">
      <c r="A290">
        <v>284</v>
      </c>
      <c r="B290" t="s">
        <v>940</v>
      </c>
      <c r="C290" t="s">
        <v>1009</v>
      </c>
      <c r="D290" t="s">
        <v>255</v>
      </c>
      <c r="E290" t="s">
        <v>1010</v>
      </c>
      <c r="F290" t="s">
        <v>28</v>
      </c>
      <c r="G290">
        <v>0</v>
      </c>
      <c r="H290">
        <v>4.528</v>
      </c>
      <c r="I290">
        <v>4.528</v>
      </c>
      <c r="J290">
        <v>93</v>
      </c>
      <c r="K290">
        <v>56</v>
      </c>
      <c r="L290">
        <v>93</v>
      </c>
      <c r="M290">
        <v>56</v>
      </c>
      <c r="N290">
        <v>93</v>
      </c>
      <c r="O290">
        <v>1</v>
      </c>
      <c r="P290">
        <v>0.9513118279569892</v>
      </c>
    </row>
    <row r="291" spans="1:16" x14ac:dyDescent="0.25">
      <c r="A291">
        <v>285</v>
      </c>
      <c r="B291" t="s">
        <v>940</v>
      </c>
      <c r="C291" t="s">
        <v>1011</v>
      </c>
      <c r="D291" t="s">
        <v>255</v>
      </c>
      <c r="E291" t="s">
        <v>1012</v>
      </c>
      <c r="F291" t="s">
        <v>28</v>
      </c>
      <c r="G291">
        <v>0</v>
      </c>
      <c r="H291">
        <v>4.528</v>
      </c>
      <c r="I291">
        <v>4.528</v>
      </c>
      <c r="J291">
        <v>93</v>
      </c>
      <c r="K291">
        <v>56</v>
      </c>
      <c r="L291">
        <v>93</v>
      </c>
      <c r="M291">
        <v>56</v>
      </c>
      <c r="N291">
        <v>93</v>
      </c>
      <c r="O291">
        <v>1</v>
      </c>
      <c r="P291">
        <v>0.9513118279569892</v>
      </c>
    </row>
    <row r="292" spans="1:16" x14ac:dyDescent="0.25">
      <c r="A292">
        <v>286</v>
      </c>
      <c r="B292" t="s">
        <v>940</v>
      </c>
      <c r="C292" t="s">
        <v>1013</v>
      </c>
      <c r="D292" t="s">
        <v>255</v>
      </c>
      <c r="E292" t="s">
        <v>1014</v>
      </c>
      <c r="F292" t="s">
        <v>28</v>
      </c>
      <c r="G292">
        <v>0</v>
      </c>
      <c r="H292">
        <v>4.528</v>
      </c>
      <c r="I292">
        <v>4.528</v>
      </c>
      <c r="J292">
        <v>16</v>
      </c>
      <c r="K292">
        <v>10.5</v>
      </c>
      <c r="L292">
        <v>16</v>
      </c>
      <c r="M292">
        <v>10.5</v>
      </c>
      <c r="N292">
        <v>16</v>
      </c>
      <c r="O292">
        <v>1</v>
      </c>
      <c r="P292">
        <v>0.7170000000000001</v>
      </c>
    </row>
    <row r="293" spans="1:16" x14ac:dyDescent="0.25">
      <c r="A293">
        <v>287</v>
      </c>
      <c r="B293" t="s">
        <v>940</v>
      </c>
      <c r="C293" t="s">
        <v>1015</v>
      </c>
      <c r="D293" t="s">
        <v>255</v>
      </c>
      <c r="E293" t="s">
        <v>1016</v>
      </c>
      <c r="F293" t="s">
        <v>28</v>
      </c>
      <c r="G293">
        <v>0</v>
      </c>
      <c r="H293">
        <v>4.528</v>
      </c>
      <c r="I293">
        <v>4.528</v>
      </c>
      <c r="J293">
        <v>16</v>
      </c>
      <c r="K293">
        <v>10.5</v>
      </c>
      <c r="L293">
        <v>16</v>
      </c>
      <c r="M293">
        <v>10.5</v>
      </c>
      <c r="N293">
        <v>16</v>
      </c>
      <c r="O293">
        <v>1</v>
      </c>
      <c r="P293">
        <v>0.7170000000000001</v>
      </c>
    </row>
    <row r="294" spans="1:16" x14ac:dyDescent="0.25">
      <c r="A294">
        <v>288</v>
      </c>
      <c r="B294" t="s">
        <v>940</v>
      </c>
      <c r="C294" t="s">
        <v>1017</v>
      </c>
      <c r="D294" t="s">
        <v>255</v>
      </c>
      <c r="E294" t="s">
        <v>1018</v>
      </c>
      <c r="F294" t="s">
        <v>28</v>
      </c>
      <c r="G294">
        <v>0</v>
      </c>
      <c r="H294">
        <v>4.528</v>
      </c>
      <c r="I294">
        <v>4.528</v>
      </c>
      <c r="J294">
        <v>16</v>
      </c>
      <c r="K294">
        <v>10.5</v>
      </c>
      <c r="L294">
        <v>16</v>
      </c>
      <c r="M294">
        <v>10.5</v>
      </c>
      <c r="N294">
        <v>16</v>
      </c>
      <c r="O294">
        <v>1</v>
      </c>
      <c r="P294">
        <v>0.7170000000000001</v>
      </c>
    </row>
    <row r="295" spans="1:16" x14ac:dyDescent="0.25">
      <c r="A295">
        <v>289</v>
      </c>
      <c r="B295" t="s">
        <v>940</v>
      </c>
      <c r="C295" t="s">
        <v>1019</v>
      </c>
      <c r="D295" t="s">
        <v>255</v>
      </c>
      <c r="E295" t="s">
        <v>1020</v>
      </c>
      <c r="F295" t="s">
        <v>28</v>
      </c>
      <c r="G295">
        <v>0</v>
      </c>
      <c r="H295">
        <v>4.528</v>
      </c>
      <c r="I295">
        <v>4.528</v>
      </c>
      <c r="J295">
        <v>165</v>
      </c>
      <c r="K295">
        <v>99</v>
      </c>
      <c r="L295">
        <v>165</v>
      </c>
      <c r="M295">
        <v>99</v>
      </c>
      <c r="N295">
        <v>165</v>
      </c>
      <c r="O295">
        <v>1</v>
      </c>
      <c r="P295">
        <v>0.9725575757575758</v>
      </c>
    </row>
    <row r="296" spans="1:16" x14ac:dyDescent="0.25">
      <c r="A296">
        <v>290</v>
      </c>
      <c r="B296" t="s">
        <v>940</v>
      </c>
      <c r="C296" t="s">
        <v>1021</v>
      </c>
      <c r="D296" t="s">
        <v>255</v>
      </c>
      <c r="E296" t="s">
        <v>1022</v>
      </c>
      <c r="F296" t="s">
        <v>28</v>
      </c>
      <c r="G296">
        <v>0</v>
      </c>
      <c r="H296">
        <v>4.528</v>
      </c>
      <c r="I296">
        <v>4.528</v>
      </c>
      <c r="J296">
        <v>100</v>
      </c>
      <c r="K296">
        <v>60</v>
      </c>
      <c r="L296">
        <v>100</v>
      </c>
      <c r="M296">
        <v>60</v>
      </c>
      <c r="N296">
        <v>100</v>
      </c>
      <c r="O296">
        <v>1</v>
      </c>
      <c r="P296">
        <v>0.9547199999999999</v>
      </c>
    </row>
    <row r="297" spans="1:16" x14ac:dyDescent="0.25">
      <c r="A297">
        <v>291</v>
      </c>
      <c r="B297" t="s">
        <v>940</v>
      </c>
      <c r="C297" t="s">
        <v>1023</v>
      </c>
      <c r="D297" t="s">
        <v>255</v>
      </c>
      <c r="E297" t="s">
        <v>1024</v>
      </c>
      <c r="F297" t="s">
        <v>28</v>
      </c>
      <c r="G297">
        <v>0</v>
      </c>
      <c r="H297">
        <v>4.528</v>
      </c>
      <c r="I297">
        <v>4.528</v>
      </c>
      <c r="J297">
        <v>78</v>
      </c>
      <c r="K297">
        <v>47</v>
      </c>
      <c r="L297">
        <v>78</v>
      </c>
      <c r="M297">
        <v>47</v>
      </c>
      <c r="N297">
        <v>78</v>
      </c>
      <c r="O297">
        <v>1</v>
      </c>
      <c r="P297">
        <v>0.9419487179487179</v>
      </c>
    </row>
    <row r="298" spans="1:16" x14ac:dyDescent="0.25">
      <c r="A298">
        <v>292</v>
      </c>
      <c r="B298" t="s">
        <v>940</v>
      </c>
      <c r="C298" t="s">
        <v>1025</v>
      </c>
      <c r="D298" t="s">
        <v>255</v>
      </c>
      <c r="E298" t="s">
        <v>1026</v>
      </c>
      <c r="F298" t="s">
        <v>28</v>
      </c>
      <c r="G298">
        <v>0</v>
      </c>
      <c r="H298">
        <v>4.528</v>
      </c>
      <c r="I298">
        <v>4.528</v>
      </c>
      <c r="J298">
        <v>78</v>
      </c>
      <c r="K298">
        <v>47</v>
      </c>
      <c r="L298">
        <v>78</v>
      </c>
      <c r="M298">
        <v>47</v>
      </c>
      <c r="N298">
        <v>78</v>
      </c>
      <c r="O298">
        <v>1</v>
      </c>
      <c r="P298">
        <v>0.9419487179487179</v>
      </c>
    </row>
    <row r="299" spans="1:16" x14ac:dyDescent="0.25">
      <c r="A299">
        <v>293</v>
      </c>
      <c r="B299" t="s">
        <v>940</v>
      </c>
      <c r="C299" t="s">
        <v>1027</v>
      </c>
      <c r="D299" t="s">
        <v>255</v>
      </c>
      <c r="E299" t="s">
        <v>1028</v>
      </c>
      <c r="F299" t="s">
        <v>28</v>
      </c>
      <c r="G299">
        <v>0</v>
      </c>
      <c r="H299">
        <v>4.528</v>
      </c>
      <c r="I299">
        <v>4.528</v>
      </c>
      <c r="J299">
        <v>71</v>
      </c>
      <c r="K299">
        <v>42.5</v>
      </c>
      <c r="L299">
        <v>71</v>
      </c>
      <c r="M299">
        <v>42.5</v>
      </c>
      <c r="N299">
        <v>71</v>
      </c>
      <c r="O299">
        <v>1</v>
      </c>
      <c r="P299">
        <v>0.936225352112676</v>
      </c>
    </row>
    <row r="300" spans="1:16" x14ac:dyDescent="0.25">
      <c r="A300">
        <v>294</v>
      </c>
      <c r="B300" t="s">
        <v>940</v>
      </c>
      <c r="C300" t="s">
        <v>1029</v>
      </c>
      <c r="D300" t="s">
        <v>255</v>
      </c>
      <c r="E300" t="s">
        <v>1030</v>
      </c>
      <c r="F300" t="s">
        <v>28</v>
      </c>
      <c r="G300">
        <v>0</v>
      </c>
      <c r="H300">
        <v>4.528</v>
      </c>
      <c r="I300">
        <v>4.528</v>
      </c>
      <c r="J300">
        <v>55</v>
      </c>
      <c r="K300">
        <v>33</v>
      </c>
      <c r="L300">
        <v>55</v>
      </c>
      <c r="M300">
        <v>33</v>
      </c>
      <c r="N300">
        <v>55</v>
      </c>
      <c r="O300">
        <v>1</v>
      </c>
      <c r="P300">
        <v>0.9176727272727273</v>
      </c>
    </row>
    <row r="301" spans="1:16" x14ac:dyDescent="0.25">
      <c r="A301">
        <v>295</v>
      </c>
      <c r="B301" t="s">
        <v>940</v>
      </c>
      <c r="C301" t="s">
        <v>1031</v>
      </c>
      <c r="D301" t="s">
        <v>255</v>
      </c>
      <c r="E301" t="s">
        <v>1032</v>
      </c>
      <c r="F301" t="s">
        <v>28</v>
      </c>
      <c r="G301">
        <v>0</v>
      </c>
      <c r="H301">
        <v>4.528</v>
      </c>
      <c r="I301">
        <v>4.528</v>
      </c>
      <c r="J301">
        <v>107</v>
      </c>
      <c r="K301">
        <v>64</v>
      </c>
      <c r="L301">
        <v>107</v>
      </c>
      <c r="M301">
        <v>64</v>
      </c>
      <c r="N301">
        <v>107</v>
      </c>
      <c r="O301">
        <v>1</v>
      </c>
      <c r="P301">
        <v>0.9576822429906542</v>
      </c>
    </row>
    <row r="302" spans="1:16" x14ac:dyDescent="0.25">
      <c r="A302">
        <v>296</v>
      </c>
      <c r="B302" t="s">
        <v>940</v>
      </c>
      <c r="C302" t="s">
        <v>1033</v>
      </c>
      <c r="D302" t="s">
        <v>255</v>
      </c>
      <c r="E302" t="s">
        <v>1034</v>
      </c>
      <c r="F302" t="s">
        <v>28</v>
      </c>
      <c r="G302">
        <v>0</v>
      </c>
      <c r="H302">
        <v>4.528</v>
      </c>
      <c r="I302">
        <v>4.528</v>
      </c>
      <c r="J302">
        <v>55</v>
      </c>
      <c r="K302">
        <v>33</v>
      </c>
      <c r="L302">
        <v>55</v>
      </c>
      <c r="M302">
        <v>33</v>
      </c>
      <c r="N302">
        <v>55</v>
      </c>
      <c r="O302">
        <v>1</v>
      </c>
      <c r="P302">
        <v>0.9176727272727273</v>
      </c>
    </row>
    <row r="303" spans="1:16" x14ac:dyDescent="0.25">
      <c r="A303">
        <v>297</v>
      </c>
      <c r="B303" t="s">
        <v>940</v>
      </c>
      <c r="C303" t="s">
        <v>1035</v>
      </c>
      <c r="D303" t="s">
        <v>255</v>
      </c>
      <c r="E303" t="s">
        <v>1036</v>
      </c>
      <c r="F303" t="s">
        <v>28</v>
      </c>
      <c r="G303">
        <v>0</v>
      </c>
      <c r="H303">
        <v>4.528</v>
      </c>
      <c r="I303">
        <v>4.528</v>
      </c>
      <c r="J303">
        <v>122</v>
      </c>
      <c r="K303">
        <v>73</v>
      </c>
      <c r="L303">
        <v>122</v>
      </c>
      <c r="M303">
        <v>73</v>
      </c>
      <c r="N303">
        <v>122</v>
      </c>
      <c r="O303">
        <v>1</v>
      </c>
      <c r="P303">
        <v>0.9628852459016393</v>
      </c>
    </row>
    <row r="304" spans="1:16" x14ac:dyDescent="0.25">
      <c r="A304">
        <v>298</v>
      </c>
      <c r="B304" t="s">
        <v>940</v>
      </c>
      <c r="C304" t="s">
        <v>1037</v>
      </c>
      <c r="D304" t="s">
        <v>255</v>
      </c>
      <c r="E304" t="s">
        <v>1038</v>
      </c>
      <c r="F304" t="s">
        <v>28</v>
      </c>
      <c r="G304">
        <v>0</v>
      </c>
      <c r="H304">
        <v>4.528</v>
      </c>
      <c r="I304">
        <v>4.528</v>
      </c>
      <c r="J304">
        <v>71</v>
      </c>
      <c r="K304">
        <v>42.5</v>
      </c>
      <c r="L304">
        <v>71</v>
      </c>
      <c r="M304">
        <v>42.5</v>
      </c>
      <c r="N304">
        <v>71</v>
      </c>
      <c r="O304">
        <v>1</v>
      </c>
      <c r="P304">
        <v>0.936225352112676</v>
      </c>
    </row>
    <row r="305" spans="1:16" x14ac:dyDescent="0.25">
      <c r="A305">
        <v>299</v>
      </c>
      <c r="B305" t="s">
        <v>940</v>
      </c>
      <c r="C305" t="s">
        <v>1039</v>
      </c>
      <c r="D305" t="s">
        <v>255</v>
      </c>
      <c r="E305" t="s">
        <v>1040</v>
      </c>
      <c r="F305" t="s">
        <v>28</v>
      </c>
      <c r="G305">
        <v>0</v>
      </c>
      <c r="H305">
        <v>4.528</v>
      </c>
      <c r="I305">
        <v>4.528</v>
      </c>
      <c r="J305">
        <v>50</v>
      </c>
      <c r="K305">
        <v>30</v>
      </c>
      <c r="L305">
        <v>50</v>
      </c>
      <c r="M305">
        <v>30</v>
      </c>
      <c r="N305">
        <v>50</v>
      </c>
      <c r="O305">
        <v>1</v>
      </c>
      <c r="P305">
        <v>0.90944</v>
      </c>
    </row>
    <row r="306" spans="1:16" x14ac:dyDescent="0.25">
      <c r="A306">
        <v>300</v>
      </c>
      <c r="B306" t="s">
        <v>940</v>
      </c>
      <c r="C306" t="s">
        <v>1041</v>
      </c>
      <c r="D306" t="s">
        <v>255</v>
      </c>
      <c r="E306" t="s">
        <v>1042</v>
      </c>
      <c r="F306" t="s">
        <v>28</v>
      </c>
      <c r="G306">
        <v>0</v>
      </c>
      <c r="H306">
        <v>4.528</v>
      </c>
      <c r="I306">
        <v>4.528</v>
      </c>
      <c r="J306">
        <v>50</v>
      </c>
      <c r="K306">
        <v>30</v>
      </c>
      <c r="L306">
        <v>50</v>
      </c>
      <c r="M306">
        <v>30</v>
      </c>
      <c r="N306">
        <v>50</v>
      </c>
      <c r="O306">
        <v>1</v>
      </c>
      <c r="P306">
        <v>0.90944</v>
      </c>
    </row>
    <row r="307" spans="1:16" x14ac:dyDescent="0.25">
      <c r="A307">
        <v>301</v>
      </c>
      <c r="B307" t="s">
        <v>940</v>
      </c>
      <c r="C307" t="s">
        <v>1043</v>
      </c>
      <c r="D307" t="s">
        <v>255</v>
      </c>
      <c r="E307" t="s">
        <v>1044</v>
      </c>
      <c r="F307" t="s">
        <v>28</v>
      </c>
      <c r="G307">
        <v>0</v>
      </c>
      <c r="H307">
        <v>4.528</v>
      </c>
      <c r="I307">
        <v>4.528</v>
      </c>
      <c r="J307">
        <v>165</v>
      </c>
      <c r="K307">
        <v>99</v>
      </c>
      <c r="L307">
        <v>165</v>
      </c>
      <c r="M307">
        <v>99</v>
      </c>
      <c r="N307">
        <v>165</v>
      </c>
      <c r="O307">
        <v>1</v>
      </c>
      <c r="P307">
        <v>0.9725575757575758</v>
      </c>
    </row>
    <row r="308" spans="1:16" x14ac:dyDescent="0.25">
      <c r="A308">
        <v>302</v>
      </c>
      <c r="B308" t="s">
        <v>940</v>
      </c>
      <c r="C308" t="s">
        <v>1045</v>
      </c>
      <c r="D308" t="s">
        <v>255</v>
      </c>
      <c r="E308" t="s">
        <v>1046</v>
      </c>
      <c r="F308" t="s">
        <v>28</v>
      </c>
      <c r="G308">
        <v>0</v>
      </c>
      <c r="H308">
        <v>4.528</v>
      </c>
      <c r="I308">
        <v>4.528</v>
      </c>
      <c r="J308">
        <v>165</v>
      </c>
      <c r="K308">
        <v>99</v>
      </c>
      <c r="L308">
        <v>165</v>
      </c>
      <c r="M308">
        <v>99</v>
      </c>
      <c r="N308">
        <v>165</v>
      </c>
      <c r="O308">
        <v>1</v>
      </c>
      <c r="P308">
        <v>0.9725575757575758</v>
      </c>
    </row>
    <row r="309" spans="1:16" x14ac:dyDescent="0.25">
      <c r="A309">
        <v>303</v>
      </c>
      <c r="B309" t="s">
        <v>940</v>
      </c>
      <c r="C309" t="s">
        <v>1047</v>
      </c>
      <c r="D309" t="s">
        <v>255</v>
      </c>
      <c r="E309" t="s">
        <v>1048</v>
      </c>
      <c r="F309" t="s">
        <v>28</v>
      </c>
      <c r="G309">
        <v>0</v>
      </c>
      <c r="H309">
        <v>4.528</v>
      </c>
      <c r="I309">
        <v>4.528</v>
      </c>
      <c r="J309">
        <v>62</v>
      </c>
      <c r="K309">
        <v>37</v>
      </c>
      <c r="L309">
        <v>62</v>
      </c>
      <c r="M309">
        <v>37</v>
      </c>
      <c r="N309">
        <v>62</v>
      </c>
      <c r="O309">
        <v>1</v>
      </c>
      <c r="P309">
        <v>0.9269677419354839</v>
      </c>
    </row>
    <row r="310" spans="1:16" x14ac:dyDescent="0.25">
      <c r="A310">
        <v>304</v>
      </c>
      <c r="B310" t="s">
        <v>940</v>
      </c>
      <c r="C310" t="s">
        <v>1049</v>
      </c>
      <c r="D310" t="s">
        <v>255</v>
      </c>
      <c r="E310" t="s">
        <v>1050</v>
      </c>
      <c r="F310" t="s">
        <v>28</v>
      </c>
      <c r="G310">
        <v>0</v>
      </c>
      <c r="H310">
        <v>4.528</v>
      </c>
      <c r="I310">
        <v>4.528</v>
      </c>
      <c r="J310">
        <v>78</v>
      </c>
      <c r="K310">
        <v>47</v>
      </c>
      <c r="L310">
        <v>78</v>
      </c>
      <c r="M310">
        <v>47</v>
      </c>
      <c r="N310">
        <v>78</v>
      </c>
      <c r="O310">
        <v>1</v>
      </c>
      <c r="P310">
        <v>0.9419487179487179</v>
      </c>
    </row>
    <row r="311" spans="1:16" x14ac:dyDescent="0.25">
      <c r="A311">
        <v>305</v>
      </c>
      <c r="B311" t="s">
        <v>940</v>
      </c>
      <c r="C311" t="s">
        <v>1051</v>
      </c>
      <c r="D311" t="s">
        <v>255</v>
      </c>
      <c r="E311" t="s">
        <v>1052</v>
      </c>
      <c r="F311" t="s">
        <v>28</v>
      </c>
      <c r="G311">
        <v>0</v>
      </c>
      <c r="H311">
        <v>4.528</v>
      </c>
      <c r="I311">
        <v>4.528</v>
      </c>
      <c r="J311">
        <v>78</v>
      </c>
      <c r="K311">
        <v>47</v>
      </c>
      <c r="L311">
        <v>78</v>
      </c>
      <c r="M311">
        <v>47</v>
      </c>
      <c r="N311">
        <v>78</v>
      </c>
      <c r="O311">
        <v>1</v>
      </c>
      <c r="P311">
        <v>0.9419487179487179</v>
      </c>
    </row>
    <row r="312" spans="1:16" x14ac:dyDescent="0.25">
      <c r="A312">
        <v>306</v>
      </c>
      <c r="B312" t="s">
        <v>940</v>
      </c>
      <c r="C312" t="s">
        <v>1053</v>
      </c>
      <c r="D312" t="s">
        <v>255</v>
      </c>
      <c r="E312" t="s">
        <v>1054</v>
      </c>
      <c r="F312" t="s">
        <v>28</v>
      </c>
      <c r="G312">
        <v>0</v>
      </c>
      <c r="H312">
        <v>4.528</v>
      </c>
      <c r="I312">
        <v>4.528</v>
      </c>
      <c r="J312">
        <v>165</v>
      </c>
      <c r="K312">
        <v>99</v>
      </c>
      <c r="L312">
        <v>165</v>
      </c>
      <c r="M312">
        <v>99</v>
      </c>
      <c r="N312">
        <v>165</v>
      </c>
      <c r="O312">
        <v>1</v>
      </c>
      <c r="P312">
        <v>0.9725575757575758</v>
      </c>
    </row>
    <row r="313" spans="1:16" x14ac:dyDescent="0.25">
      <c r="A313">
        <v>307</v>
      </c>
      <c r="B313" t="s">
        <v>940</v>
      </c>
      <c r="C313" t="s">
        <v>1055</v>
      </c>
      <c r="D313" t="s">
        <v>255</v>
      </c>
      <c r="E313" t="s">
        <v>1056</v>
      </c>
      <c r="F313" t="s">
        <v>28</v>
      </c>
      <c r="G313">
        <v>0</v>
      </c>
      <c r="H313">
        <v>4.528</v>
      </c>
      <c r="I313">
        <v>4.528</v>
      </c>
      <c r="J313">
        <v>57</v>
      </c>
      <c r="K313">
        <v>34</v>
      </c>
      <c r="L313">
        <v>57</v>
      </c>
      <c r="M313">
        <v>34</v>
      </c>
      <c r="N313">
        <v>57</v>
      </c>
      <c r="O313">
        <v>1</v>
      </c>
      <c r="P313">
        <v>0.9205614035087719</v>
      </c>
    </row>
    <row r="314" spans="1:16" x14ac:dyDescent="0.25">
      <c r="A314">
        <v>308</v>
      </c>
      <c r="B314" t="s">
        <v>940</v>
      </c>
      <c r="C314" t="s">
        <v>1057</v>
      </c>
      <c r="D314" t="s">
        <v>255</v>
      </c>
      <c r="E314" t="s">
        <v>1058</v>
      </c>
      <c r="F314" t="s">
        <v>28</v>
      </c>
      <c r="G314">
        <v>0</v>
      </c>
      <c r="H314">
        <v>4.528</v>
      </c>
      <c r="I314">
        <v>4.528</v>
      </c>
      <c r="J314">
        <v>57</v>
      </c>
      <c r="K314">
        <v>34</v>
      </c>
      <c r="L314">
        <v>57</v>
      </c>
      <c r="M314">
        <v>34</v>
      </c>
      <c r="N314">
        <v>57</v>
      </c>
      <c r="O314">
        <v>1</v>
      </c>
      <c r="P314">
        <v>0.9205614035087719</v>
      </c>
    </row>
    <row r="315" spans="1:16" x14ac:dyDescent="0.25">
      <c r="A315">
        <v>309</v>
      </c>
      <c r="B315" t="s">
        <v>940</v>
      </c>
      <c r="C315" t="s">
        <v>1059</v>
      </c>
      <c r="D315" t="s">
        <v>255</v>
      </c>
      <c r="E315" t="s">
        <v>1060</v>
      </c>
      <c r="F315" t="s">
        <v>28</v>
      </c>
      <c r="G315">
        <v>0</v>
      </c>
      <c r="H315">
        <v>4.528</v>
      </c>
      <c r="I315">
        <v>4.528</v>
      </c>
      <c r="J315">
        <v>18</v>
      </c>
      <c r="K315">
        <v>11.5</v>
      </c>
      <c r="L315">
        <v>18</v>
      </c>
      <c r="M315">
        <v>11.5</v>
      </c>
      <c r="N315">
        <v>18</v>
      </c>
      <c r="O315">
        <v>1</v>
      </c>
      <c r="P315">
        <v>0.7484444444444445</v>
      </c>
    </row>
    <row r="316" spans="1:16" x14ac:dyDescent="0.25">
      <c r="A316">
        <v>310</v>
      </c>
      <c r="B316" t="s">
        <v>940</v>
      </c>
      <c r="C316" t="s">
        <v>1061</v>
      </c>
      <c r="D316" t="s">
        <v>255</v>
      </c>
      <c r="E316" t="s">
        <v>1062</v>
      </c>
      <c r="F316" t="s">
        <v>28</v>
      </c>
      <c r="G316">
        <v>0</v>
      </c>
      <c r="H316">
        <v>4.528</v>
      </c>
      <c r="I316">
        <v>4.528</v>
      </c>
      <c r="J316">
        <v>45</v>
      </c>
      <c r="K316">
        <v>27</v>
      </c>
      <c r="L316">
        <v>45</v>
      </c>
      <c r="M316">
        <v>27</v>
      </c>
      <c r="N316">
        <v>45</v>
      </c>
      <c r="O316">
        <v>1</v>
      </c>
      <c r="P316">
        <v>0.8993777777777778</v>
      </c>
    </row>
    <row r="317" spans="1:16" x14ac:dyDescent="0.25">
      <c r="A317">
        <v>311</v>
      </c>
      <c r="B317" t="s">
        <v>940</v>
      </c>
      <c r="C317" t="s">
        <v>1063</v>
      </c>
      <c r="D317" t="s">
        <v>255</v>
      </c>
      <c r="E317" t="s">
        <v>1064</v>
      </c>
      <c r="F317" t="s">
        <v>28</v>
      </c>
      <c r="G317">
        <v>0</v>
      </c>
      <c r="H317">
        <v>4.528</v>
      </c>
      <c r="I317">
        <v>4.528</v>
      </c>
      <c r="J317">
        <v>32</v>
      </c>
      <c r="K317">
        <v>19</v>
      </c>
      <c r="L317">
        <v>32</v>
      </c>
      <c r="M317">
        <v>19</v>
      </c>
      <c r="N317">
        <v>32</v>
      </c>
      <c r="O317">
        <v>1</v>
      </c>
      <c r="P317">
        <v>0.8585</v>
      </c>
    </row>
    <row r="318" spans="1:16" x14ac:dyDescent="0.25">
      <c r="A318">
        <v>312</v>
      </c>
      <c r="B318" t="s">
        <v>940</v>
      </c>
      <c r="C318" t="s">
        <v>1065</v>
      </c>
      <c r="D318" t="s">
        <v>255</v>
      </c>
      <c r="E318" t="s">
        <v>1066</v>
      </c>
      <c r="F318" t="s">
        <v>28</v>
      </c>
      <c r="G318">
        <v>0</v>
      </c>
      <c r="H318">
        <v>4.528</v>
      </c>
      <c r="I318">
        <v>4.528</v>
      </c>
      <c r="J318">
        <v>32</v>
      </c>
      <c r="K318">
        <v>19</v>
      </c>
      <c r="L318">
        <v>32</v>
      </c>
      <c r="M318">
        <v>19</v>
      </c>
      <c r="N318">
        <v>32</v>
      </c>
      <c r="O318">
        <v>1</v>
      </c>
      <c r="P318">
        <v>0.8585</v>
      </c>
    </row>
    <row r="319" spans="1:16" x14ac:dyDescent="0.25">
      <c r="A319">
        <v>313</v>
      </c>
      <c r="B319" t="s">
        <v>940</v>
      </c>
      <c r="C319" t="s">
        <v>1067</v>
      </c>
      <c r="D319" t="s">
        <v>255</v>
      </c>
      <c r="E319" t="s">
        <v>1068</v>
      </c>
      <c r="F319" t="s">
        <v>28</v>
      </c>
      <c r="G319">
        <v>0</v>
      </c>
      <c r="H319">
        <v>4.528</v>
      </c>
      <c r="I319">
        <v>4.528</v>
      </c>
      <c r="J319">
        <v>107</v>
      </c>
      <c r="K319">
        <v>64</v>
      </c>
      <c r="L319">
        <v>107</v>
      </c>
      <c r="M319">
        <v>64</v>
      </c>
      <c r="N319">
        <v>107</v>
      </c>
      <c r="O319">
        <v>1</v>
      </c>
      <c r="P319">
        <v>0.9576822429906542</v>
      </c>
    </row>
    <row r="320" spans="1:16" x14ac:dyDescent="0.25">
      <c r="A320">
        <v>314</v>
      </c>
      <c r="B320" t="s">
        <v>940</v>
      </c>
      <c r="C320" t="s">
        <v>1069</v>
      </c>
      <c r="D320" t="s">
        <v>255</v>
      </c>
      <c r="E320" t="s">
        <v>1070</v>
      </c>
      <c r="F320" t="s">
        <v>28</v>
      </c>
      <c r="G320">
        <v>0</v>
      </c>
      <c r="H320">
        <v>4.528</v>
      </c>
      <c r="I320">
        <v>4.528</v>
      </c>
      <c r="J320">
        <v>54</v>
      </c>
      <c r="K320">
        <v>32.5</v>
      </c>
      <c r="L320">
        <v>54</v>
      </c>
      <c r="M320">
        <v>32.5</v>
      </c>
      <c r="N320">
        <v>54</v>
      </c>
      <c r="O320">
        <v>1</v>
      </c>
      <c r="P320">
        <v>0.9161481481481482</v>
      </c>
    </row>
    <row r="321" spans="1:16" x14ac:dyDescent="0.25">
      <c r="A321">
        <v>315</v>
      </c>
      <c r="B321" t="s">
        <v>940</v>
      </c>
      <c r="C321" t="s">
        <v>1071</v>
      </c>
      <c r="D321" t="s">
        <v>255</v>
      </c>
      <c r="E321" t="s">
        <v>1072</v>
      </c>
      <c r="F321" t="s">
        <v>28</v>
      </c>
      <c r="G321">
        <v>0</v>
      </c>
      <c r="H321">
        <v>4.528</v>
      </c>
      <c r="I321">
        <v>4.528</v>
      </c>
      <c r="J321">
        <v>28</v>
      </c>
      <c r="K321">
        <v>17</v>
      </c>
      <c r="L321">
        <v>28</v>
      </c>
      <c r="M321">
        <v>17</v>
      </c>
      <c r="N321">
        <v>28</v>
      </c>
      <c r="O321">
        <v>1</v>
      </c>
      <c r="P321">
        <v>0.8382857142857143</v>
      </c>
    </row>
    <row r="322" spans="1:16" x14ac:dyDescent="0.25">
      <c r="A322">
        <v>316</v>
      </c>
      <c r="B322" t="s">
        <v>940</v>
      </c>
      <c r="C322" t="s">
        <v>1073</v>
      </c>
      <c r="D322" t="s">
        <v>255</v>
      </c>
      <c r="E322" t="s">
        <v>1074</v>
      </c>
      <c r="F322" t="s">
        <v>28</v>
      </c>
      <c r="G322">
        <v>0</v>
      </c>
      <c r="H322">
        <v>4.528</v>
      </c>
      <c r="I322">
        <v>4.528</v>
      </c>
      <c r="J322">
        <v>54</v>
      </c>
      <c r="K322">
        <v>32.5</v>
      </c>
      <c r="L322">
        <v>54</v>
      </c>
      <c r="M322">
        <v>32.5</v>
      </c>
      <c r="N322">
        <v>54</v>
      </c>
      <c r="O322">
        <v>1</v>
      </c>
      <c r="P322">
        <v>0.9161481481481482</v>
      </c>
    </row>
    <row r="323" spans="1:16" x14ac:dyDescent="0.25">
      <c r="A323">
        <v>317</v>
      </c>
      <c r="B323" t="s">
        <v>940</v>
      </c>
      <c r="C323" t="s">
        <v>1075</v>
      </c>
      <c r="D323" t="s">
        <v>255</v>
      </c>
      <c r="E323" t="s">
        <v>1076</v>
      </c>
      <c r="F323" t="s">
        <v>28</v>
      </c>
      <c r="G323">
        <v>0</v>
      </c>
      <c r="H323">
        <v>4.528</v>
      </c>
      <c r="I323">
        <v>4.528</v>
      </c>
      <c r="J323">
        <v>28</v>
      </c>
      <c r="K323">
        <v>17</v>
      </c>
      <c r="L323">
        <v>28</v>
      </c>
      <c r="M323">
        <v>17</v>
      </c>
      <c r="N323">
        <v>28</v>
      </c>
      <c r="O323">
        <v>1</v>
      </c>
      <c r="P323">
        <v>0.8382857142857143</v>
      </c>
    </row>
    <row r="324" spans="1:16" x14ac:dyDescent="0.25">
      <c r="A324">
        <v>318</v>
      </c>
      <c r="B324" t="s">
        <v>940</v>
      </c>
      <c r="C324" t="s">
        <v>1077</v>
      </c>
      <c r="D324" t="s">
        <v>255</v>
      </c>
      <c r="E324" t="s">
        <v>1078</v>
      </c>
      <c r="F324" t="s">
        <v>28</v>
      </c>
      <c r="G324">
        <v>0</v>
      </c>
      <c r="H324">
        <v>4.528</v>
      </c>
      <c r="I324">
        <v>4.528</v>
      </c>
      <c r="J324">
        <v>54</v>
      </c>
      <c r="K324">
        <v>32.5</v>
      </c>
      <c r="L324">
        <v>54</v>
      </c>
      <c r="M324">
        <v>32.5</v>
      </c>
      <c r="N324">
        <v>54</v>
      </c>
      <c r="O324">
        <v>1</v>
      </c>
      <c r="P324">
        <v>0.9161481481481482</v>
      </c>
    </row>
    <row r="325" spans="1:16" x14ac:dyDescent="0.25">
      <c r="A325">
        <v>319</v>
      </c>
      <c r="B325" t="s">
        <v>940</v>
      </c>
      <c r="C325" t="s">
        <v>1079</v>
      </c>
      <c r="D325" t="s">
        <v>255</v>
      </c>
      <c r="E325" t="s">
        <v>1080</v>
      </c>
      <c r="F325" t="s">
        <v>28</v>
      </c>
      <c r="G325">
        <v>0</v>
      </c>
      <c r="H325">
        <v>4.528</v>
      </c>
      <c r="I325">
        <v>4.528</v>
      </c>
      <c r="J325">
        <v>107</v>
      </c>
      <c r="K325">
        <v>64</v>
      </c>
      <c r="L325">
        <v>107</v>
      </c>
      <c r="M325">
        <v>64</v>
      </c>
      <c r="N325">
        <v>107</v>
      </c>
      <c r="O325">
        <v>1</v>
      </c>
      <c r="P325">
        <v>0.9576822429906542</v>
      </c>
    </row>
    <row r="326" spans="1:16" x14ac:dyDescent="0.25">
      <c r="A326">
        <v>320</v>
      </c>
      <c r="B326" t="s">
        <v>940</v>
      </c>
      <c r="C326" t="s">
        <v>1081</v>
      </c>
      <c r="D326" t="s">
        <v>255</v>
      </c>
      <c r="E326" t="s">
        <v>1082</v>
      </c>
      <c r="F326" t="s">
        <v>28</v>
      </c>
      <c r="G326">
        <v>0</v>
      </c>
      <c r="H326">
        <v>4.528</v>
      </c>
      <c r="I326">
        <v>4.528</v>
      </c>
      <c r="J326">
        <v>54</v>
      </c>
      <c r="K326">
        <v>32.5</v>
      </c>
      <c r="L326">
        <v>54</v>
      </c>
      <c r="M326">
        <v>32.5</v>
      </c>
      <c r="N326">
        <v>54</v>
      </c>
      <c r="O326">
        <v>1</v>
      </c>
      <c r="P326">
        <v>0.9161481481481482</v>
      </c>
    </row>
    <row r="327" spans="1:16" x14ac:dyDescent="0.25">
      <c r="A327">
        <v>321</v>
      </c>
      <c r="B327" t="s">
        <v>940</v>
      </c>
      <c r="C327" t="s">
        <v>1083</v>
      </c>
      <c r="D327" t="s">
        <v>255</v>
      </c>
      <c r="E327" t="s">
        <v>1084</v>
      </c>
      <c r="F327" t="s">
        <v>28</v>
      </c>
      <c r="G327">
        <v>0</v>
      </c>
      <c r="H327">
        <v>4.528</v>
      </c>
      <c r="I327">
        <v>4.528</v>
      </c>
      <c r="J327">
        <v>54</v>
      </c>
      <c r="K327">
        <v>32.5</v>
      </c>
      <c r="L327">
        <v>54</v>
      </c>
      <c r="M327">
        <v>32.5</v>
      </c>
      <c r="N327">
        <v>54</v>
      </c>
      <c r="O327">
        <v>1</v>
      </c>
      <c r="P327">
        <v>0.9161481481481482</v>
      </c>
    </row>
    <row r="328" spans="1:16" x14ac:dyDescent="0.25">
      <c r="A328">
        <v>322</v>
      </c>
      <c r="B328" t="s">
        <v>940</v>
      </c>
      <c r="C328" t="s">
        <v>1085</v>
      </c>
      <c r="D328" t="s">
        <v>255</v>
      </c>
      <c r="E328" t="s">
        <v>1086</v>
      </c>
      <c r="F328" t="s">
        <v>28</v>
      </c>
      <c r="G328">
        <v>0</v>
      </c>
      <c r="H328">
        <v>4.528</v>
      </c>
      <c r="I328">
        <v>4.528</v>
      </c>
      <c r="J328">
        <v>107</v>
      </c>
      <c r="K328">
        <v>64</v>
      </c>
      <c r="L328">
        <v>107</v>
      </c>
      <c r="M328">
        <v>64</v>
      </c>
      <c r="N328">
        <v>107</v>
      </c>
      <c r="O328">
        <v>1</v>
      </c>
      <c r="P328">
        <v>0.9576822429906542</v>
      </c>
    </row>
    <row r="329" spans="1:16" x14ac:dyDescent="0.25">
      <c r="A329">
        <v>323</v>
      </c>
      <c r="B329" t="s">
        <v>940</v>
      </c>
      <c r="C329" t="s">
        <v>1087</v>
      </c>
      <c r="D329" t="s">
        <v>255</v>
      </c>
      <c r="E329" t="s">
        <v>1088</v>
      </c>
      <c r="F329" t="s">
        <v>28</v>
      </c>
      <c r="G329">
        <v>0</v>
      </c>
      <c r="H329">
        <v>4.528</v>
      </c>
      <c r="I329">
        <v>4.528</v>
      </c>
      <c r="J329">
        <v>54</v>
      </c>
      <c r="K329">
        <v>32.5</v>
      </c>
      <c r="L329">
        <v>54</v>
      </c>
      <c r="M329">
        <v>32.5</v>
      </c>
      <c r="N329">
        <v>54</v>
      </c>
      <c r="O329">
        <v>1</v>
      </c>
      <c r="P329">
        <v>0.9161481481481482</v>
      </c>
    </row>
    <row r="330" spans="1:16" x14ac:dyDescent="0.25">
      <c r="A330">
        <v>324</v>
      </c>
      <c r="B330" t="s">
        <v>940</v>
      </c>
      <c r="C330" t="s">
        <v>1089</v>
      </c>
      <c r="D330" t="s">
        <v>255</v>
      </c>
      <c r="E330" t="s">
        <v>1090</v>
      </c>
      <c r="F330" t="s">
        <v>28</v>
      </c>
      <c r="G330">
        <v>0</v>
      </c>
      <c r="H330">
        <v>4.528</v>
      </c>
      <c r="I330">
        <v>4.528</v>
      </c>
      <c r="J330">
        <v>64</v>
      </c>
      <c r="K330">
        <v>38.5</v>
      </c>
      <c r="L330">
        <v>64</v>
      </c>
      <c r="M330">
        <v>38.5</v>
      </c>
      <c r="N330">
        <v>64</v>
      </c>
      <c r="O330">
        <v>1</v>
      </c>
      <c r="P330">
        <v>0.92925</v>
      </c>
    </row>
    <row r="331" spans="1:16" x14ac:dyDescent="0.25">
      <c r="A331">
        <v>325</v>
      </c>
      <c r="B331" t="s">
        <v>940</v>
      </c>
      <c r="C331" t="s">
        <v>1091</v>
      </c>
      <c r="D331" t="s">
        <v>255</v>
      </c>
      <c r="E331" t="s">
        <v>1092</v>
      </c>
      <c r="F331" t="s">
        <v>28</v>
      </c>
      <c r="G331">
        <v>0</v>
      </c>
      <c r="H331">
        <v>4.528</v>
      </c>
      <c r="I331">
        <v>4.528</v>
      </c>
      <c r="J331">
        <v>14</v>
      </c>
      <c r="K331">
        <v>9</v>
      </c>
      <c r="L331">
        <v>14</v>
      </c>
      <c r="M331">
        <v>9</v>
      </c>
      <c r="N331">
        <v>14</v>
      </c>
      <c r="O331">
        <v>1</v>
      </c>
      <c r="P331">
        <v>0.6765714285714287</v>
      </c>
    </row>
    <row r="332" spans="1:16" x14ac:dyDescent="0.25">
      <c r="A332">
        <v>326</v>
      </c>
      <c r="B332" t="s">
        <v>940</v>
      </c>
      <c r="C332" t="s">
        <v>1093</v>
      </c>
      <c r="D332" t="s">
        <v>255</v>
      </c>
      <c r="E332" t="s">
        <v>1094</v>
      </c>
      <c r="F332" t="s">
        <v>28</v>
      </c>
      <c r="G332">
        <v>0</v>
      </c>
      <c r="H332">
        <v>4.528</v>
      </c>
      <c r="I332">
        <v>4.528</v>
      </c>
      <c r="J332">
        <v>239</v>
      </c>
      <c r="K332">
        <v>143.5</v>
      </c>
      <c r="L332">
        <v>239</v>
      </c>
      <c r="M332">
        <v>143.5</v>
      </c>
      <c r="N332">
        <v>239</v>
      </c>
      <c r="O332">
        <v>1</v>
      </c>
      <c r="P332">
        <v>0.9810543933054394</v>
      </c>
    </row>
    <row r="333" spans="1:16" x14ac:dyDescent="0.25">
      <c r="A333">
        <v>327</v>
      </c>
      <c r="B333" t="s">
        <v>940</v>
      </c>
      <c r="C333" t="s">
        <v>1095</v>
      </c>
      <c r="D333" t="s">
        <v>255</v>
      </c>
      <c r="E333" t="s">
        <v>1096</v>
      </c>
      <c r="F333" t="s">
        <v>28</v>
      </c>
      <c r="G333">
        <v>0</v>
      </c>
      <c r="H333">
        <v>4.528</v>
      </c>
      <c r="I333">
        <v>4.528</v>
      </c>
      <c r="J333">
        <v>412</v>
      </c>
      <c r="K333">
        <v>247</v>
      </c>
      <c r="L333">
        <v>412</v>
      </c>
      <c r="M333">
        <v>247</v>
      </c>
      <c r="N333">
        <v>412</v>
      </c>
      <c r="O333">
        <v>1</v>
      </c>
      <c r="P333">
        <v>0.989009708737864</v>
      </c>
    </row>
    <row r="334" spans="1:16" x14ac:dyDescent="0.25">
      <c r="A334">
        <v>328</v>
      </c>
      <c r="B334" t="s">
        <v>940</v>
      </c>
      <c r="C334" t="s">
        <v>1097</v>
      </c>
      <c r="D334" t="s">
        <v>255</v>
      </c>
      <c r="E334" t="s">
        <v>1098</v>
      </c>
      <c r="F334" t="s">
        <v>28</v>
      </c>
      <c r="G334">
        <v>0</v>
      </c>
      <c r="H334">
        <v>4.528</v>
      </c>
      <c r="I334">
        <v>4.528</v>
      </c>
      <c r="J334">
        <v>153</v>
      </c>
      <c r="K334">
        <v>92</v>
      </c>
      <c r="L334">
        <v>153</v>
      </c>
      <c r="M334">
        <v>92</v>
      </c>
      <c r="N334">
        <v>153</v>
      </c>
      <c r="O334">
        <v>1</v>
      </c>
      <c r="P334">
        <v>0.97040522875817</v>
      </c>
    </row>
    <row r="335" spans="1:16" x14ac:dyDescent="0.25">
      <c r="A335">
        <v>329</v>
      </c>
      <c r="B335" t="s">
        <v>940</v>
      </c>
      <c r="C335" t="s">
        <v>1099</v>
      </c>
      <c r="D335" t="s">
        <v>255</v>
      </c>
      <c r="E335" t="s">
        <v>1100</v>
      </c>
      <c r="F335" t="s">
        <v>28</v>
      </c>
      <c r="G335">
        <v>0</v>
      </c>
      <c r="H335">
        <v>4.528</v>
      </c>
      <c r="I335">
        <v>4.528</v>
      </c>
      <c r="J335">
        <v>347</v>
      </c>
      <c r="K335">
        <v>208</v>
      </c>
      <c r="L335">
        <v>347</v>
      </c>
      <c r="M335">
        <v>208</v>
      </c>
      <c r="N335">
        <v>347</v>
      </c>
      <c r="O335">
        <v>1</v>
      </c>
      <c r="P335">
        <v>0.9869510086455331</v>
      </c>
    </row>
    <row r="336" spans="1:16" x14ac:dyDescent="0.25">
      <c r="A336">
        <v>330</v>
      </c>
      <c r="B336" t="s">
        <v>940</v>
      </c>
      <c r="C336" t="s">
        <v>1101</v>
      </c>
      <c r="D336" t="s">
        <v>255</v>
      </c>
      <c r="E336" t="s">
        <v>1102</v>
      </c>
      <c r="F336" t="s">
        <v>28</v>
      </c>
      <c r="G336">
        <v>0</v>
      </c>
      <c r="H336">
        <v>4.528</v>
      </c>
      <c r="I336">
        <v>4.528</v>
      </c>
      <c r="J336">
        <v>143</v>
      </c>
      <c r="K336">
        <v>86</v>
      </c>
      <c r="L336">
        <v>143</v>
      </c>
      <c r="M336">
        <v>86</v>
      </c>
      <c r="N336">
        <v>143</v>
      </c>
      <c r="O336">
        <v>1</v>
      </c>
      <c r="P336">
        <v>0.9683356643356644</v>
      </c>
    </row>
    <row r="337" spans="1:16" x14ac:dyDescent="0.25">
      <c r="A337">
        <v>331</v>
      </c>
      <c r="B337" t="s">
        <v>940</v>
      </c>
      <c r="C337" t="s">
        <v>1103</v>
      </c>
      <c r="D337" t="s">
        <v>255</v>
      </c>
      <c r="E337" t="s">
        <v>1104</v>
      </c>
      <c r="F337" t="s">
        <v>28</v>
      </c>
      <c r="G337">
        <v>0</v>
      </c>
      <c r="H337">
        <v>4.528</v>
      </c>
      <c r="I337">
        <v>4.528</v>
      </c>
      <c r="J337">
        <v>160</v>
      </c>
      <c r="K337">
        <v>96</v>
      </c>
      <c r="L337">
        <v>160</v>
      </c>
      <c r="M337">
        <v>96</v>
      </c>
      <c r="N337">
        <v>160</v>
      </c>
      <c r="O337">
        <v>1</v>
      </c>
      <c r="P337">
        <v>0.9717</v>
      </c>
    </row>
    <row r="338" spans="1:16" x14ac:dyDescent="0.25">
      <c r="A338">
        <v>332</v>
      </c>
      <c r="B338" t="s">
        <v>940</v>
      </c>
      <c r="C338" t="s">
        <v>1105</v>
      </c>
      <c r="D338" t="s">
        <v>255</v>
      </c>
      <c r="E338" t="s">
        <v>1106</v>
      </c>
      <c r="F338" t="s">
        <v>28</v>
      </c>
      <c r="G338">
        <v>0</v>
      </c>
      <c r="H338">
        <v>4.528</v>
      </c>
      <c r="I338">
        <v>4.528</v>
      </c>
      <c r="J338">
        <v>153</v>
      </c>
      <c r="K338">
        <v>92</v>
      </c>
      <c r="L338">
        <v>153</v>
      </c>
      <c r="M338">
        <v>92</v>
      </c>
      <c r="N338">
        <v>153</v>
      </c>
      <c r="O338">
        <v>1</v>
      </c>
      <c r="P338">
        <v>0.97040522875817</v>
      </c>
    </row>
    <row r="339" spans="1:16" x14ac:dyDescent="0.25">
      <c r="A339">
        <v>333</v>
      </c>
      <c r="B339" t="s">
        <v>940</v>
      </c>
      <c r="C339" t="s">
        <v>1107</v>
      </c>
      <c r="D339" t="s">
        <v>255</v>
      </c>
      <c r="E339" t="s">
        <v>1108</v>
      </c>
      <c r="F339" t="s">
        <v>28</v>
      </c>
      <c r="G339">
        <v>0</v>
      </c>
      <c r="H339">
        <v>4.528</v>
      </c>
      <c r="I339">
        <v>4.528</v>
      </c>
      <c r="J339">
        <v>112</v>
      </c>
      <c r="K339">
        <v>67</v>
      </c>
      <c r="L339">
        <v>112</v>
      </c>
      <c r="M339">
        <v>67</v>
      </c>
      <c r="N339">
        <v>112</v>
      </c>
      <c r="O339">
        <v>1</v>
      </c>
      <c r="P339">
        <v>0.9595714285714285</v>
      </c>
    </row>
    <row r="340" spans="1:16" x14ac:dyDescent="0.25">
      <c r="A340">
        <v>334</v>
      </c>
      <c r="B340" t="s">
        <v>940</v>
      </c>
      <c r="C340" t="s">
        <v>1109</v>
      </c>
      <c r="D340" t="s">
        <v>255</v>
      </c>
      <c r="E340" t="s">
        <v>1110</v>
      </c>
      <c r="F340" t="s">
        <v>28</v>
      </c>
      <c r="G340">
        <v>0</v>
      </c>
      <c r="H340">
        <v>4.528</v>
      </c>
      <c r="I340">
        <v>4.528</v>
      </c>
      <c r="J340">
        <v>107</v>
      </c>
      <c r="K340">
        <v>64</v>
      </c>
      <c r="L340">
        <v>107</v>
      </c>
      <c r="M340">
        <v>64</v>
      </c>
      <c r="N340">
        <v>107</v>
      </c>
      <c r="O340">
        <v>1</v>
      </c>
      <c r="P340">
        <v>0.9576822429906542</v>
      </c>
    </row>
    <row r="341" spans="1:16" x14ac:dyDescent="0.25">
      <c r="A341">
        <v>335</v>
      </c>
      <c r="B341" t="s">
        <v>940</v>
      </c>
      <c r="C341" t="s">
        <v>1111</v>
      </c>
      <c r="D341" t="s">
        <v>255</v>
      </c>
      <c r="E341" t="s">
        <v>1112</v>
      </c>
      <c r="F341" t="s">
        <v>28</v>
      </c>
      <c r="G341">
        <v>0</v>
      </c>
      <c r="H341">
        <v>4.528</v>
      </c>
      <c r="I341">
        <v>4.528</v>
      </c>
      <c r="J341">
        <v>42</v>
      </c>
      <c r="K341">
        <v>25</v>
      </c>
      <c r="L341">
        <v>42</v>
      </c>
      <c r="M341">
        <v>25</v>
      </c>
      <c r="N341">
        <v>42</v>
      </c>
      <c r="O341">
        <v>1</v>
      </c>
      <c r="P341">
        <v>0.8921904761904762</v>
      </c>
    </row>
    <row r="342" spans="1:16" x14ac:dyDescent="0.25">
      <c r="A342">
        <v>336</v>
      </c>
      <c r="B342" t="s">
        <v>940</v>
      </c>
      <c r="C342" t="s">
        <v>1113</v>
      </c>
      <c r="D342" t="s">
        <v>255</v>
      </c>
      <c r="E342" t="s">
        <v>1114</v>
      </c>
      <c r="F342" t="s">
        <v>28</v>
      </c>
      <c r="G342">
        <v>0</v>
      </c>
      <c r="H342">
        <v>4.528</v>
      </c>
      <c r="I342">
        <v>4.528</v>
      </c>
      <c r="J342">
        <v>83</v>
      </c>
      <c r="K342">
        <v>50</v>
      </c>
      <c r="L342">
        <v>83</v>
      </c>
      <c r="M342">
        <v>50</v>
      </c>
      <c r="N342">
        <v>83</v>
      </c>
      <c r="O342">
        <v>1</v>
      </c>
      <c r="P342">
        <v>0.94544578313253</v>
      </c>
    </row>
    <row r="343" spans="1:16" x14ac:dyDescent="0.25">
      <c r="A343">
        <v>337</v>
      </c>
      <c r="B343" t="s">
        <v>940</v>
      </c>
      <c r="C343" t="s">
        <v>1115</v>
      </c>
      <c r="D343" t="s">
        <v>255</v>
      </c>
      <c r="E343" t="s">
        <v>1116</v>
      </c>
      <c r="F343" t="s">
        <v>28</v>
      </c>
      <c r="G343">
        <v>0</v>
      </c>
      <c r="H343">
        <v>4.528</v>
      </c>
      <c r="I343">
        <v>4.528</v>
      </c>
      <c r="J343">
        <v>42</v>
      </c>
      <c r="K343">
        <v>25</v>
      </c>
      <c r="L343">
        <v>42</v>
      </c>
      <c r="M343">
        <v>25</v>
      </c>
      <c r="N343">
        <v>42</v>
      </c>
      <c r="O343">
        <v>1</v>
      </c>
      <c r="P343">
        <v>0.8921904761904762</v>
      </c>
    </row>
    <row r="344" spans="1:16" x14ac:dyDescent="0.25">
      <c r="A344">
        <v>338</v>
      </c>
      <c r="B344" t="s">
        <v>940</v>
      </c>
      <c r="C344" t="s">
        <v>1117</v>
      </c>
      <c r="D344" t="s">
        <v>255</v>
      </c>
      <c r="E344" t="s">
        <v>1118</v>
      </c>
      <c r="F344" t="s">
        <v>28</v>
      </c>
      <c r="G344">
        <v>0</v>
      </c>
      <c r="H344">
        <v>4.528</v>
      </c>
      <c r="I344">
        <v>4.528</v>
      </c>
      <c r="J344">
        <v>54</v>
      </c>
      <c r="K344">
        <v>32.5</v>
      </c>
      <c r="L344">
        <v>54</v>
      </c>
      <c r="M344">
        <v>32.5</v>
      </c>
      <c r="N344">
        <v>54</v>
      </c>
      <c r="O344">
        <v>1</v>
      </c>
      <c r="P344">
        <v>0.9161481481481482</v>
      </c>
    </row>
    <row r="345" spans="1:16" x14ac:dyDescent="0.25">
      <c r="A345">
        <v>339</v>
      </c>
      <c r="B345" t="s">
        <v>940</v>
      </c>
      <c r="C345" t="s">
        <v>1119</v>
      </c>
      <c r="D345" t="s">
        <v>255</v>
      </c>
      <c r="E345" t="s">
        <v>1120</v>
      </c>
      <c r="F345" t="s">
        <v>28</v>
      </c>
      <c r="G345">
        <v>0</v>
      </c>
      <c r="H345">
        <v>4.528</v>
      </c>
      <c r="I345">
        <v>4.528</v>
      </c>
      <c r="J345">
        <v>107</v>
      </c>
      <c r="K345">
        <v>64</v>
      </c>
      <c r="L345">
        <v>107</v>
      </c>
      <c r="M345">
        <v>64</v>
      </c>
      <c r="N345">
        <v>107</v>
      </c>
      <c r="O345">
        <v>1</v>
      </c>
      <c r="P345">
        <v>0.9576822429906542</v>
      </c>
    </row>
    <row r="346" spans="1:16" x14ac:dyDescent="0.25">
      <c r="A346">
        <v>340</v>
      </c>
      <c r="B346" t="s">
        <v>940</v>
      </c>
      <c r="C346" t="s">
        <v>1121</v>
      </c>
      <c r="D346" t="s">
        <v>255</v>
      </c>
      <c r="E346" t="s">
        <v>1122</v>
      </c>
      <c r="F346" t="s">
        <v>28</v>
      </c>
      <c r="G346">
        <v>0</v>
      </c>
      <c r="H346">
        <v>4.528</v>
      </c>
      <c r="I346">
        <v>4.528</v>
      </c>
      <c r="J346">
        <v>54</v>
      </c>
      <c r="K346">
        <v>32.5</v>
      </c>
      <c r="L346">
        <v>54</v>
      </c>
      <c r="M346">
        <v>32.5</v>
      </c>
      <c r="N346">
        <v>54</v>
      </c>
      <c r="O346">
        <v>1</v>
      </c>
      <c r="P346">
        <v>0.9161481481481482</v>
      </c>
    </row>
    <row r="347" spans="1:16" x14ac:dyDescent="0.25">
      <c r="A347">
        <v>341</v>
      </c>
      <c r="B347" t="s">
        <v>940</v>
      </c>
      <c r="C347" t="s">
        <v>1123</v>
      </c>
      <c r="D347" t="s">
        <v>255</v>
      </c>
      <c r="E347" t="s">
        <v>1124</v>
      </c>
      <c r="F347" t="s">
        <v>28</v>
      </c>
      <c r="G347">
        <v>0</v>
      </c>
      <c r="H347">
        <v>4.528</v>
      </c>
      <c r="I347">
        <v>4.528</v>
      </c>
      <c r="J347">
        <v>107</v>
      </c>
      <c r="K347">
        <v>64</v>
      </c>
      <c r="L347">
        <v>107</v>
      </c>
      <c r="M347">
        <v>64</v>
      </c>
      <c r="N347">
        <v>107</v>
      </c>
      <c r="O347">
        <v>1</v>
      </c>
      <c r="P347">
        <v>0.9576822429906542</v>
      </c>
    </row>
    <row r="348" spans="1:16" x14ac:dyDescent="0.25">
      <c r="A348">
        <v>342</v>
      </c>
      <c r="B348" t="s">
        <v>940</v>
      </c>
      <c r="C348" t="s">
        <v>1125</v>
      </c>
      <c r="D348" t="s">
        <v>255</v>
      </c>
      <c r="E348" t="s">
        <v>1126</v>
      </c>
      <c r="F348" t="s">
        <v>28</v>
      </c>
      <c r="G348">
        <v>0</v>
      </c>
      <c r="H348">
        <v>4.528</v>
      </c>
      <c r="I348">
        <v>4.528</v>
      </c>
      <c r="J348">
        <v>23</v>
      </c>
      <c r="K348">
        <v>20.5</v>
      </c>
      <c r="L348">
        <v>23</v>
      </c>
      <c r="M348">
        <v>20.5</v>
      </c>
      <c r="N348">
        <v>23</v>
      </c>
      <c r="O348">
        <v>1</v>
      </c>
      <c r="P348">
        <v>0.8031304347826087</v>
      </c>
    </row>
    <row r="349" spans="1:16" x14ac:dyDescent="0.25">
      <c r="A349">
        <v>343</v>
      </c>
      <c r="B349" t="s">
        <v>940</v>
      </c>
      <c r="C349" t="s">
        <v>1127</v>
      </c>
      <c r="D349" t="s">
        <v>255</v>
      </c>
      <c r="E349" t="s">
        <v>1128</v>
      </c>
      <c r="F349" t="s">
        <v>28</v>
      </c>
      <c r="G349">
        <v>0</v>
      </c>
      <c r="H349">
        <v>4.528</v>
      </c>
      <c r="I349">
        <v>4.528</v>
      </c>
      <c r="J349">
        <v>14</v>
      </c>
      <c r="K349">
        <v>12.5</v>
      </c>
      <c r="L349">
        <v>14</v>
      </c>
      <c r="M349">
        <v>12.5</v>
      </c>
      <c r="N349">
        <v>14</v>
      </c>
      <c r="O349">
        <v>1</v>
      </c>
      <c r="P349">
        <v>0.6765714285714287</v>
      </c>
    </row>
    <row r="350" spans="1:16" x14ac:dyDescent="0.25">
      <c r="A350">
        <v>344</v>
      </c>
      <c r="B350" t="s">
        <v>940</v>
      </c>
      <c r="C350" t="s">
        <v>1129</v>
      </c>
      <c r="D350" t="s">
        <v>255</v>
      </c>
      <c r="E350" t="s">
        <v>1130</v>
      </c>
      <c r="F350" t="s">
        <v>28</v>
      </c>
      <c r="G350">
        <v>0</v>
      </c>
      <c r="H350">
        <v>4.528</v>
      </c>
      <c r="I350">
        <v>4.528</v>
      </c>
      <c r="J350">
        <v>19</v>
      </c>
      <c r="K350">
        <v>18</v>
      </c>
      <c r="L350">
        <v>19</v>
      </c>
      <c r="M350">
        <v>18</v>
      </c>
      <c r="N350">
        <v>19</v>
      </c>
      <c r="O350">
        <v>1</v>
      </c>
      <c r="P350">
        <v>0.7616842105263159</v>
      </c>
    </row>
    <row r="351" spans="1:16" x14ac:dyDescent="0.25">
      <c r="A351">
        <v>345</v>
      </c>
      <c r="B351" t="s">
        <v>940</v>
      </c>
      <c r="C351" t="s">
        <v>1131</v>
      </c>
      <c r="D351" t="s">
        <v>255</v>
      </c>
      <c r="E351" t="s">
        <v>1132</v>
      </c>
      <c r="F351" t="s">
        <v>28</v>
      </c>
      <c r="G351">
        <v>0</v>
      </c>
      <c r="H351">
        <v>4.528</v>
      </c>
      <c r="I351">
        <v>4.528</v>
      </c>
      <c r="J351">
        <v>313</v>
      </c>
      <c r="K351">
        <v>297.5</v>
      </c>
      <c r="L351">
        <v>313</v>
      </c>
      <c r="M351">
        <v>297.5</v>
      </c>
      <c r="N351">
        <v>313</v>
      </c>
      <c r="O351">
        <v>1</v>
      </c>
      <c r="P351">
        <v>0.9855335463258785</v>
      </c>
    </row>
    <row r="352" spans="1:16" x14ac:dyDescent="0.25">
      <c r="A352">
        <v>346</v>
      </c>
      <c r="B352" t="s">
        <v>940</v>
      </c>
      <c r="C352" t="s">
        <v>1133</v>
      </c>
      <c r="D352" t="s">
        <v>255</v>
      </c>
      <c r="E352" t="s">
        <v>1134</v>
      </c>
      <c r="F352" t="s">
        <v>28</v>
      </c>
      <c r="G352">
        <v>0</v>
      </c>
      <c r="H352">
        <v>4.528</v>
      </c>
      <c r="I352">
        <v>4.528</v>
      </c>
      <c r="J352">
        <v>80</v>
      </c>
      <c r="K352">
        <v>76</v>
      </c>
      <c r="L352">
        <v>80</v>
      </c>
      <c r="M352">
        <v>76</v>
      </c>
      <c r="N352">
        <v>80</v>
      </c>
      <c r="O352">
        <v>1</v>
      </c>
      <c r="P352">
        <v>0.9433999999999999</v>
      </c>
    </row>
    <row r="353" spans="1:16" x14ac:dyDescent="0.25">
      <c r="A353">
        <v>347</v>
      </c>
      <c r="B353" t="s">
        <v>940</v>
      </c>
      <c r="C353" t="s">
        <v>1135</v>
      </c>
      <c r="D353" t="s">
        <v>255</v>
      </c>
      <c r="E353" t="s">
        <v>1136</v>
      </c>
      <c r="F353" t="s">
        <v>28</v>
      </c>
      <c r="G353">
        <v>0</v>
      </c>
      <c r="H353">
        <v>4.528</v>
      </c>
      <c r="I353">
        <v>4.528</v>
      </c>
      <c r="J353">
        <v>82</v>
      </c>
      <c r="K353">
        <v>78</v>
      </c>
      <c r="L353">
        <v>82</v>
      </c>
      <c r="M353">
        <v>78</v>
      </c>
      <c r="N353">
        <v>82</v>
      </c>
      <c r="O353">
        <v>1</v>
      </c>
      <c r="P353">
        <v>0.944780487804878</v>
      </c>
    </row>
    <row r="354" spans="1:16" x14ac:dyDescent="0.25">
      <c r="A354">
        <v>348</v>
      </c>
      <c r="B354" t="s">
        <v>940</v>
      </c>
      <c r="C354" t="s">
        <v>1137</v>
      </c>
      <c r="D354" t="s">
        <v>255</v>
      </c>
      <c r="E354" t="s">
        <v>1138</v>
      </c>
      <c r="F354" t="s">
        <v>28</v>
      </c>
      <c r="G354">
        <v>0</v>
      </c>
      <c r="H354">
        <v>4.528</v>
      </c>
      <c r="I354">
        <v>4.528</v>
      </c>
      <c r="J354">
        <v>28</v>
      </c>
      <c r="K354">
        <v>26.5</v>
      </c>
      <c r="L354">
        <v>28</v>
      </c>
      <c r="M354">
        <v>26.5</v>
      </c>
      <c r="N354">
        <v>28</v>
      </c>
      <c r="O354">
        <v>1</v>
      </c>
      <c r="P354">
        <v>0.8382857142857143</v>
      </c>
    </row>
    <row r="355" spans="1:16" x14ac:dyDescent="0.25">
      <c r="A355">
        <v>349</v>
      </c>
      <c r="B355" t="s">
        <v>940</v>
      </c>
      <c r="C355" t="s">
        <v>1139</v>
      </c>
      <c r="D355" t="s">
        <v>255</v>
      </c>
      <c r="E355" t="s">
        <v>1140</v>
      </c>
      <c r="F355" t="s">
        <v>28</v>
      </c>
      <c r="G355">
        <v>0</v>
      </c>
      <c r="H355">
        <v>4.528</v>
      </c>
      <c r="I355">
        <v>4.528</v>
      </c>
      <c r="J355">
        <v>176</v>
      </c>
      <c r="K355">
        <v>167</v>
      </c>
      <c r="L355">
        <v>176</v>
      </c>
      <c r="M355">
        <v>167</v>
      </c>
      <c r="N355">
        <v>176</v>
      </c>
      <c r="O355">
        <v>1</v>
      </c>
      <c r="P355">
        <v>0.9742727272727273</v>
      </c>
    </row>
    <row r="356" spans="1:16" x14ac:dyDescent="0.25">
      <c r="A356">
        <v>350</v>
      </c>
      <c r="B356" t="s">
        <v>940</v>
      </c>
      <c r="C356" t="s">
        <v>1141</v>
      </c>
      <c r="D356" t="s">
        <v>255</v>
      </c>
      <c r="E356" t="s">
        <v>1142</v>
      </c>
      <c r="F356" t="s">
        <v>28</v>
      </c>
      <c r="G356">
        <v>0</v>
      </c>
      <c r="H356">
        <v>4.528</v>
      </c>
      <c r="I356">
        <v>4.528</v>
      </c>
      <c r="J356">
        <v>27</v>
      </c>
      <c r="K356">
        <v>23</v>
      </c>
      <c r="L356">
        <v>27</v>
      </c>
      <c r="M356">
        <v>23</v>
      </c>
      <c r="N356">
        <v>27</v>
      </c>
      <c r="O356">
        <v>1</v>
      </c>
      <c r="P356">
        <v>0.8322962962962963</v>
      </c>
    </row>
    <row r="357" spans="1:16" x14ac:dyDescent="0.25">
      <c r="A357">
        <v>351</v>
      </c>
      <c r="B357" t="s">
        <v>940</v>
      </c>
      <c r="C357" t="s">
        <v>1143</v>
      </c>
      <c r="D357" t="s">
        <v>255</v>
      </c>
      <c r="E357" t="s">
        <v>1144</v>
      </c>
      <c r="F357" t="s">
        <v>28</v>
      </c>
      <c r="G357">
        <v>0</v>
      </c>
      <c r="H357">
        <v>4.528</v>
      </c>
      <c r="I357">
        <v>4.528</v>
      </c>
      <c r="J357">
        <v>110</v>
      </c>
      <c r="K357">
        <v>66</v>
      </c>
      <c r="L357">
        <v>110</v>
      </c>
      <c r="M357">
        <v>66</v>
      </c>
      <c r="N357">
        <v>110</v>
      </c>
      <c r="O357">
        <v>1</v>
      </c>
      <c r="P357">
        <v>0.9588363636363636</v>
      </c>
    </row>
    <row r="358" spans="1:16" x14ac:dyDescent="0.25">
      <c r="A358">
        <v>352</v>
      </c>
      <c r="B358" t="s">
        <v>940</v>
      </c>
      <c r="C358" t="s">
        <v>1145</v>
      </c>
      <c r="D358" t="s">
        <v>255</v>
      </c>
      <c r="E358" t="s">
        <v>1146</v>
      </c>
      <c r="F358" t="s">
        <v>28</v>
      </c>
      <c r="G358">
        <v>0</v>
      </c>
      <c r="H358">
        <v>4.528</v>
      </c>
      <c r="I358">
        <v>4.528</v>
      </c>
      <c r="J358">
        <v>424</v>
      </c>
      <c r="K358">
        <v>254.5</v>
      </c>
      <c r="L358">
        <v>424</v>
      </c>
      <c r="M358">
        <v>254.5</v>
      </c>
      <c r="N358">
        <v>424</v>
      </c>
      <c r="O358">
        <v>1</v>
      </c>
      <c r="P358">
        <v>0.9893207547169811</v>
      </c>
    </row>
    <row r="359" spans="1:16" x14ac:dyDescent="0.25">
      <c r="A359">
        <v>353</v>
      </c>
      <c r="B359" t="s">
        <v>940</v>
      </c>
      <c r="C359" t="s">
        <v>1147</v>
      </c>
      <c r="D359" t="s">
        <v>255</v>
      </c>
      <c r="E359" t="s">
        <v>1148</v>
      </c>
      <c r="F359" t="s">
        <v>28</v>
      </c>
      <c r="G359">
        <v>0</v>
      </c>
      <c r="H359">
        <v>4.528</v>
      </c>
      <c r="I359">
        <v>4.528</v>
      </c>
      <c r="J359">
        <v>21</v>
      </c>
      <c r="K359">
        <v>13.5</v>
      </c>
      <c r="L359">
        <v>21</v>
      </c>
      <c r="M359">
        <v>13.5</v>
      </c>
      <c r="N359">
        <v>21</v>
      </c>
      <c r="O359">
        <v>1</v>
      </c>
      <c r="P359">
        <v>0.7843809523809524</v>
      </c>
    </row>
    <row r="360" spans="1:16" x14ac:dyDescent="0.25">
      <c r="A360">
        <v>354</v>
      </c>
      <c r="B360" t="s">
        <v>940</v>
      </c>
      <c r="C360" t="s">
        <v>1149</v>
      </c>
      <c r="D360" t="s">
        <v>255</v>
      </c>
      <c r="E360" t="s">
        <v>1150</v>
      </c>
      <c r="F360" t="s">
        <v>28</v>
      </c>
      <c r="G360">
        <v>0</v>
      </c>
      <c r="H360">
        <v>4.528</v>
      </c>
      <c r="I360">
        <v>4.528</v>
      </c>
      <c r="J360">
        <v>174</v>
      </c>
      <c r="K360">
        <v>104.5</v>
      </c>
      <c r="L360">
        <v>174</v>
      </c>
      <c r="M360">
        <v>104.5</v>
      </c>
      <c r="N360">
        <v>174</v>
      </c>
      <c r="O360">
        <v>1</v>
      </c>
      <c r="P360">
        <v>0.973977011494253</v>
      </c>
    </row>
    <row r="361" spans="1:16" x14ac:dyDescent="0.25">
      <c r="A361">
        <v>355</v>
      </c>
      <c r="B361" t="s">
        <v>940</v>
      </c>
      <c r="C361" t="s">
        <v>1151</v>
      </c>
      <c r="D361" t="s">
        <v>255</v>
      </c>
      <c r="E361" t="s">
        <v>1152</v>
      </c>
      <c r="F361" t="s">
        <v>28</v>
      </c>
      <c r="G361">
        <v>0</v>
      </c>
      <c r="H361">
        <v>4.528</v>
      </c>
      <c r="I361">
        <v>4.528</v>
      </c>
      <c r="J361">
        <v>758</v>
      </c>
      <c r="K361">
        <v>455</v>
      </c>
      <c r="L361">
        <v>758</v>
      </c>
      <c r="M361">
        <v>455</v>
      </c>
      <c r="N361">
        <v>758</v>
      </c>
      <c r="O361">
        <v>1</v>
      </c>
      <c r="P361">
        <v>0.9940263852242743</v>
      </c>
    </row>
    <row r="362" spans="1:16" x14ac:dyDescent="0.25">
      <c r="A362">
        <v>356</v>
      </c>
      <c r="B362" t="s">
        <v>940</v>
      </c>
      <c r="C362" t="s">
        <v>1153</v>
      </c>
      <c r="D362" t="s">
        <v>255</v>
      </c>
      <c r="E362" t="s">
        <v>1154</v>
      </c>
      <c r="F362" t="s">
        <v>28</v>
      </c>
      <c r="G362">
        <v>0</v>
      </c>
      <c r="H362">
        <v>4.528</v>
      </c>
      <c r="I362">
        <v>4.528</v>
      </c>
      <c r="J362">
        <v>50</v>
      </c>
      <c r="K362">
        <v>30</v>
      </c>
      <c r="L362">
        <v>50</v>
      </c>
      <c r="M362">
        <v>30</v>
      </c>
      <c r="N362">
        <v>50</v>
      </c>
      <c r="O362">
        <v>1</v>
      </c>
      <c r="P362">
        <v>0.90944</v>
      </c>
    </row>
    <row r="363" spans="1:16" x14ac:dyDescent="0.25">
      <c r="A363">
        <v>357</v>
      </c>
      <c r="B363" t="s">
        <v>940</v>
      </c>
      <c r="C363" t="s">
        <v>1155</v>
      </c>
      <c r="D363" t="s">
        <v>255</v>
      </c>
      <c r="E363" t="s">
        <v>1156</v>
      </c>
      <c r="F363" t="s">
        <v>28</v>
      </c>
      <c r="G363">
        <v>0</v>
      </c>
      <c r="H363">
        <v>4.528</v>
      </c>
      <c r="I363">
        <v>4.528</v>
      </c>
      <c r="J363">
        <v>374</v>
      </c>
      <c r="K363">
        <v>224.5</v>
      </c>
      <c r="L363">
        <v>374</v>
      </c>
      <c r="M363">
        <v>224.5</v>
      </c>
      <c r="N363">
        <v>374</v>
      </c>
      <c r="O363">
        <v>1</v>
      </c>
      <c r="P363">
        <v>0.9878930481283422</v>
      </c>
    </row>
    <row r="364" spans="1:16" x14ac:dyDescent="0.25">
      <c r="A364">
        <v>358</v>
      </c>
      <c r="B364" t="s">
        <v>940</v>
      </c>
      <c r="C364" t="s">
        <v>1157</v>
      </c>
      <c r="D364" t="s">
        <v>255</v>
      </c>
      <c r="E364" t="s">
        <v>1158</v>
      </c>
      <c r="F364" t="s">
        <v>28</v>
      </c>
      <c r="G364">
        <v>0</v>
      </c>
      <c r="H364">
        <v>4.528</v>
      </c>
      <c r="I364">
        <v>4.528</v>
      </c>
      <c r="J364">
        <v>75</v>
      </c>
      <c r="K364">
        <v>71.5</v>
      </c>
      <c r="L364">
        <v>75</v>
      </c>
      <c r="M364">
        <v>71.5</v>
      </c>
      <c r="N364">
        <v>75</v>
      </c>
      <c r="O364">
        <v>1</v>
      </c>
      <c r="P364">
        <v>0.9396266666666666</v>
      </c>
    </row>
    <row r="365" spans="1:16" x14ac:dyDescent="0.25">
      <c r="A365">
        <v>359</v>
      </c>
      <c r="B365" t="s">
        <v>940</v>
      </c>
      <c r="C365" t="s">
        <v>1159</v>
      </c>
      <c r="D365" t="s">
        <v>255</v>
      </c>
      <c r="E365" t="s">
        <v>1160</v>
      </c>
      <c r="F365" t="s">
        <v>28</v>
      </c>
      <c r="G365">
        <v>0</v>
      </c>
      <c r="H365">
        <v>4.528</v>
      </c>
      <c r="I365">
        <v>4.528</v>
      </c>
      <c r="J365">
        <v>47</v>
      </c>
      <c r="K365">
        <v>28</v>
      </c>
      <c r="L365">
        <v>47</v>
      </c>
      <c r="M365">
        <v>28</v>
      </c>
      <c r="N365">
        <v>47</v>
      </c>
      <c r="O365">
        <v>1</v>
      </c>
      <c r="P365">
        <v>0.9036595744680851</v>
      </c>
    </row>
    <row r="366" spans="1:16" x14ac:dyDescent="0.25">
      <c r="A366">
        <v>360</v>
      </c>
      <c r="B366" t="s">
        <v>940</v>
      </c>
      <c r="C366" t="s">
        <v>1161</v>
      </c>
      <c r="D366" t="s">
        <v>255</v>
      </c>
      <c r="E366" t="s">
        <v>1162</v>
      </c>
      <c r="F366" t="s">
        <v>28</v>
      </c>
      <c r="G366">
        <v>0</v>
      </c>
      <c r="H366">
        <v>4.528</v>
      </c>
      <c r="I366">
        <v>4.528</v>
      </c>
      <c r="J366">
        <v>162</v>
      </c>
      <c r="K366">
        <v>97</v>
      </c>
      <c r="L366">
        <v>162</v>
      </c>
      <c r="M366">
        <v>97</v>
      </c>
      <c r="N366">
        <v>162</v>
      </c>
      <c r="O366">
        <v>1</v>
      </c>
      <c r="P366">
        <v>0.9720493827160495</v>
      </c>
    </row>
    <row r="367" spans="1:16" x14ac:dyDescent="0.25">
      <c r="A367">
        <v>361</v>
      </c>
      <c r="B367" t="s">
        <v>940</v>
      </c>
      <c r="C367" t="s">
        <v>1163</v>
      </c>
      <c r="D367" t="s">
        <v>255</v>
      </c>
      <c r="E367" t="s">
        <v>1164</v>
      </c>
      <c r="F367" t="s">
        <v>28</v>
      </c>
      <c r="G367">
        <v>0</v>
      </c>
      <c r="H367">
        <v>4.528</v>
      </c>
      <c r="I367">
        <v>4.528</v>
      </c>
      <c r="J367">
        <v>114</v>
      </c>
      <c r="K367">
        <v>68.5</v>
      </c>
      <c r="L367">
        <v>114</v>
      </c>
      <c r="M367">
        <v>68.5</v>
      </c>
      <c r="N367">
        <v>114</v>
      </c>
      <c r="O367">
        <v>1</v>
      </c>
      <c r="P367">
        <v>0.960280701754386</v>
      </c>
    </row>
    <row r="368" spans="1:16" x14ac:dyDescent="0.25">
      <c r="A368">
        <v>362</v>
      </c>
      <c r="B368" t="s">
        <v>940</v>
      </c>
      <c r="C368" t="s">
        <v>1165</v>
      </c>
      <c r="D368" t="s">
        <v>255</v>
      </c>
      <c r="E368" t="s">
        <v>1166</v>
      </c>
      <c r="F368" t="s">
        <v>28</v>
      </c>
      <c r="G368">
        <v>0</v>
      </c>
      <c r="H368">
        <v>4.528</v>
      </c>
      <c r="I368">
        <v>4.528</v>
      </c>
      <c r="J368">
        <v>162</v>
      </c>
      <c r="K368">
        <v>97</v>
      </c>
      <c r="L368">
        <v>162</v>
      </c>
      <c r="M368">
        <v>97</v>
      </c>
      <c r="N368">
        <v>162</v>
      </c>
      <c r="O368">
        <v>1</v>
      </c>
      <c r="P368">
        <v>0.9720493827160495</v>
      </c>
    </row>
    <row r="369" spans="1:16" x14ac:dyDescent="0.25">
      <c r="A369">
        <v>363</v>
      </c>
      <c r="B369" t="s">
        <v>940</v>
      </c>
      <c r="C369" t="s">
        <v>1167</v>
      </c>
      <c r="D369" t="s">
        <v>255</v>
      </c>
      <c r="E369" t="s">
        <v>1168</v>
      </c>
      <c r="F369" t="s">
        <v>28</v>
      </c>
      <c r="G369">
        <v>0</v>
      </c>
      <c r="H369">
        <v>4.528</v>
      </c>
      <c r="I369">
        <v>4.528</v>
      </c>
      <c r="J369">
        <v>162</v>
      </c>
      <c r="K369">
        <v>97</v>
      </c>
      <c r="L369">
        <v>162</v>
      </c>
      <c r="M369">
        <v>97</v>
      </c>
      <c r="N369">
        <v>162</v>
      </c>
      <c r="O369">
        <v>1</v>
      </c>
      <c r="P369">
        <v>0.9720493827160495</v>
      </c>
    </row>
    <row r="370" spans="1:16" x14ac:dyDescent="0.25">
      <c r="A370">
        <v>364</v>
      </c>
      <c r="B370" t="s">
        <v>940</v>
      </c>
      <c r="C370" t="s">
        <v>1169</v>
      </c>
      <c r="D370" t="s">
        <v>255</v>
      </c>
      <c r="E370" t="s">
        <v>1170</v>
      </c>
      <c r="F370" t="s">
        <v>28</v>
      </c>
      <c r="G370">
        <v>0</v>
      </c>
      <c r="H370">
        <v>4.528</v>
      </c>
      <c r="I370">
        <v>4.528</v>
      </c>
      <c r="J370">
        <v>88</v>
      </c>
      <c r="K370">
        <v>53</v>
      </c>
      <c r="L370">
        <v>88</v>
      </c>
      <c r="M370">
        <v>53</v>
      </c>
      <c r="N370">
        <v>88</v>
      </c>
      <c r="O370">
        <v>1</v>
      </c>
      <c r="P370">
        <v>0.9485454545454545</v>
      </c>
    </row>
    <row r="371" spans="1:16" x14ac:dyDescent="0.25">
      <c r="A371">
        <v>365</v>
      </c>
      <c r="B371" t="s">
        <v>940</v>
      </c>
      <c r="C371" t="s">
        <v>1171</v>
      </c>
      <c r="D371" t="s">
        <v>255</v>
      </c>
      <c r="E371" t="s">
        <v>1172</v>
      </c>
      <c r="F371" t="s">
        <v>28</v>
      </c>
      <c r="G371">
        <v>0</v>
      </c>
      <c r="H371">
        <v>4.528</v>
      </c>
      <c r="I371">
        <v>4.528</v>
      </c>
      <c r="J371">
        <v>162</v>
      </c>
      <c r="K371">
        <v>97</v>
      </c>
      <c r="L371">
        <v>162</v>
      </c>
      <c r="M371">
        <v>97</v>
      </c>
      <c r="N371">
        <v>162</v>
      </c>
      <c r="O371">
        <v>1</v>
      </c>
      <c r="P371">
        <v>0.9720493827160495</v>
      </c>
    </row>
    <row r="372" spans="1:16" x14ac:dyDescent="0.25">
      <c r="A372">
        <v>366</v>
      </c>
      <c r="B372" t="s">
        <v>940</v>
      </c>
      <c r="C372" t="s">
        <v>1173</v>
      </c>
      <c r="D372" t="s">
        <v>255</v>
      </c>
      <c r="E372" t="s">
        <v>1174</v>
      </c>
      <c r="F372" t="s">
        <v>28</v>
      </c>
      <c r="G372">
        <v>0</v>
      </c>
      <c r="H372">
        <v>4.528</v>
      </c>
      <c r="I372">
        <v>4.528</v>
      </c>
      <c r="J372">
        <v>10</v>
      </c>
      <c r="K372">
        <v>5</v>
      </c>
      <c r="L372">
        <v>10</v>
      </c>
      <c r="M372">
        <v>5</v>
      </c>
      <c r="N372">
        <v>10</v>
      </c>
      <c r="O372">
        <v>1</v>
      </c>
      <c r="P372">
        <v>0.5472</v>
      </c>
    </row>
    <row r="373" spans="1:16" x14ac:dyDescent="0.25">
      <c r="A373">
        <v>367</v>
      </c>
      <c r="B373" t="s">
        <v>940</v>
      </c>
      <c r="C373" t="s">
        <v>1175</v>
      </c>
      <c r="D373" t="s">
        <v>255</v>
      </c>
      <c r="E373" t="s">
        <v>1176</v>
      </c>
      <c r="F373" t="s">
        <v>28</v>
      </c>
      <c r="G373">
        <v>0</v>
      </c>
      <c r="H373">
        <v>4.528</v>
      </c>
      <c r="I373">
        <v>4.528</v>
      </c>
      <c r="J373">
        <v>15</v>
      </c>
      <c r="K373">
        <v>10.5</v>
      </c>
      <c r="L373">
        <v>15</v>
      </c>
      <c r="M373">
        <v>10.5</v>
      </c>
      <c r="N373">
        <v>15</v>
      </c>
      <c r="O373">
        <v>1</v>
      </c>
      <c r="P373">
        <v>0.6981333333333334</v>
      </c>
    </row>
    <row r="374" spans="1:16" x14ac:dyDescent="0.25">
      <c r="A374">
        <v>368</v>
      </c>
      <c r="B374" t="s">
        <v>940</v>
      </c>
      <c r="C374" t="s">
        <v>1177</v>
      </c>
      <c r="D374" t="s">
        <v>255</v>
      </c>
      <c r="E374" t="s">
        <v>1178</v>
      </c>
      <c r="F374" t="s">
        <v>28</v>
      </c>
      <c r="G374">
        <v>0</v>
      </c>
      <c r="H374">
        <v>4.528</v>
      </c>
      <c r="I374">
        <v>4.528</v>
      </c>
      <c r="J374">
        <v>15</v>
      </c>
      <c r="K374">
        <v>10.5</v>
      </c>
      <c r="L374">
        <v>15</v>
      </c>
      <c r="M374">
        <v>10.5</v>
      </c>
      <c r="N374">
        <v>15</v>
      </c>
      <c r="O374">
        <v>1</v>
      </c>
      <c r="P374">
        <v>0.6981333333333334</v>
      </c>
    </row>
    <row r="375" spans="1:16" x14ac:dyDescent="0.25">
      <c r="A375">
        <v>369</v>
      </c>
      <c r="B375" t="s">
        <v>940</v>
      </c>
      <c r="C375" t="s">
        <v>1179</v>
      </c>
      <c r="D375" t="s">
        <v>255</v>
      </c>
      <c r="E375" t="s">
        <v>1180</v>
      </c>
      <c r="F375" t="s">
        <v>28</v>
      </c>
      <c r="G375">
        <v>0</v>
      </c>
      <c r="H375">
        <v>4.528</v>
      </c>
      <c r="I375">
        <v>4.528</v>
      </c>
      <c r="J375">
        <v>15</v>
      </c>
      <c r="K375">
        <v>10.5</v>
      </c>
      <c r="L375">
        <v>15</v>
      </c>
      <c r="M375">
        <v>10.5</v>
      </c>
      <c r="N375">
        <v>15</v>
      </c>
      <c r="O375">
        <v>1</v>
      </c>
      <c r="P375">
        <v>0.6981333333333334</v>
      </c>
    </row>
    <row r="376" spans="1:16" x14ac:dyDescent="0.25">
      <c r="A376">
        <v>370</v>
      </c>
      <c r="B376" t="s">
        <v>940</v>
      </c>
      <c r="C376" t="s">
        <v>1181</v>
      </c>
      <c r="D376" t="s">
        <v>255</v>
      </c>
      <c r="E376" t="s">
        <v>1182</v>
      </c>
      <c r="F376" t="s">
        <v>28</v>
      </c>
      <c r="G376">
        <v>0</v>
      </c>
      <c r="H376">
        <v>4.528</v>
      </c>
      <c r="I376">
        <v>4.528</v>
      </c>
      <c r="J376">
        <v>15</v>
      </c>
      <c r="K376">
        <v>10.5</v>
      </c>
      <c r="L376">
        <v>15</v>
      </c>
      <c r="M376">
        <v>10.5</v>
      </c>
      <c r="N376">
        <v>15</v>
      </c>
      <c r="O376">
        <v>1</v>
      </c>
      <c r="P376">
        <v>0.6981333333333334</v>
      </c>
    </row>
    <row r="377" spans="1:16" x14ac:dyDescent="0.25">
      <c r="A377">
        <v>371</v>
      </c>
      <c r="B377" t="s">
        <v>940</v>
      </c>
      <c r="C377" t="s">
        <v>1183</v>
      </c>
      <c r="D377" t="s">
        <v>255</v>
      </c>
      <c r="E377" t="s">
        <v>1184</v>
      </c>
      <c r="F377" t="s">
        <v>28</v>
      </c>
      <c r="G377">
        <v>0</v>
      </c>
      <c r="H377">
        <v>4.528</v>
      </c>
      <c r="I377">
        <v>4.528</v>
      </c>
      <c r="J377">
        <v>15</v>
      </c>
      <c r="K377">
        <v>10.5</v>
      </c>
      <c r="L377">
        <v>15</v>
      </c>
      <c r="M377">
        <v>10.5</v>
      </c>
      <c r="N377">
        <v>15</v>
      </c>
      <c r="O377">
        <v>1</v>
      </c>
      <c r="P377">
        <v>0.6981333333333334</v>
      </c>
    </row>
    <row r="378" spans="1:16" x14ac:dyDescent="0.25">
      <c r="A378">
        <v>372</v>
      </c>
      <c r="B378" t="s">
        <v>940</v>
      </c>
      <c r="C378" t="s">
        <v>1185</v>
      </c>
      <c r="D378" t="s">
        <v>255</v>
      </c>
      <c r="E378" t="s">
        <v>1186</v>
      </c>
      <c r="F378" t="s">
        <v>28</v>
      </c>
      <c r="G378">
        <v>0</v>
      </c>
      <c r="H378">
        <v>4.528</v>
      </c>
      <c r="I378">
        <v>4.528</v>
      </c>
      <c r="J378">
        <v>15</v>
      </c>
      <c r="K378">
        <v>10.5</v>
      </c>
      <c r="L378">
        <v>15</v>
      </c>
      <c r="M378">
        <v>10.5</v>
      </c>
      <c r="N378">
        <v>15</v>
      </c>
      <c r="O378">
        <v>1</v>
      </c>
      <c r="P378">
        <v>0.6981333333333334</v>
      </c>
    </row>
    <row r="379" spans="1:16" x14ac:dyDescent="0.25">
      <c r="A379">
        <v>373</v>
      </c>
      <c r="B379" t="s">
        <v>940</v>
      </c>
      <c r="C379" t="s">
        <v>1187</v>
      </c>
      <c r="D379" t="s">
        <v>255</v>
      </c>
      <c r="E379" t="s">
        <v>1188</v>
      </c>
      <c r="F379" t="s">
        <v>28</v>
      </c>
      <c r="G379">
        <v>0</v>
      </c>
      <c r="H379">
        <v>4.528</v>
      </c>
      <c r="I379">
        <v>4.528</v>
      </c>
      <c r="J379">
        <v>18</v>
      </c>
      <c r="K379">
        <v>12.5</v>
      </c>
      <c r="L379">
        <v>18</v>
      </c>
      <c r="M379">
        <v>12.5</v>
      </c>
      <c r="N379">
        <v>18</v>
      </c>
      <c r="O379">
        <v>1</v>
      </c>
      <c r="P379">
        <v>0.7484444444444445</v>
      </c>
    </row>
    <row r="380" spans="1:16" x14ac:dyDescent="0.25">
      <c r="A380">
        <v>374</v>
      </c>
      <c r="B380" t="s">
        <v>940</v>
      </c>
      <c r="C380" t="s">
        <v>1189</v>
      </c>
      <c r="D380" t="s">
        <v>255</v>
      </c>
      <c r="E380" t="s">
        <v>1190</v>
      </c>
      <c r="F380" t="s">
        <v>28</v>
      </c>
      <c r="G380">
        <v>0</v>
      </c>
      <c r="H380">
        <v>4.528</v>
      </c>
      <c r="I380">
        <v>4.528</v>
      </c>
      <c r="J380">
        <v>11</v>
      </c>
      <c r="K380">
        <v>6.5</v>
      </c>
      <c r="L380">
        <v>11</v>
      </c>
      <c r="M380">
        <v>6.5</v>
      </c>
      <c r="N380">
        <v>11</v>
      </c>
      <c r="O380">
        <v>1</v>
      </c>
      <c r="P380">
        <v>0.5883636363636364</v>
      </c>
    </row>
    <row r="381" spans="1:16" x14ac:dyDescent="0.25">
      <c r="A381">
        <v>375</v>
      </c>
      <c r="B381" t="s">
        <v>940</v>
      </c>
      <c r="C381" t="s">
        <v>1191</v>
      </c>
      <c r="D381" t="s">
        <v>255</v>
      </c>
      <c r="E381" t="s">
        <v>1192</v>
      </c>
      <c r="F381" t="s">
        <v>28</v>
      </c>
      <c r="G381">
        <v>0</v>
      </c>
      <c r="H381">
        <v>4.528</v>
      </c>
      <c r="I381">
        <v>4.528</v>
      </c>
      <c r="J381">
        <v>45</v>
      </c>
      <c r="K381">
        <v>27</v>
      </c>
      <c r="L381">
        <v>45</v>
      </c>
      <c r="M381">
        <v>27</v>
      </c>
      <c r="N381">
        <v>45</v>
      </c>
      <c r="O381">
        <v>1</v>
      </c>
      <c r="P381">
        <v>0.8993777777777778</v>
      </c>
    </row>
    <row r="382" spans="1:16" x14ac:dyDescent="0.25">
      <c r="A382">
        <v>376</v>
      </c>
      <c r="B382" t="s">
        <v>940</v>
      </c>
      <c r="C382" t="s">
        <v>1193</v>
      </c>
      <c r="D382" t="s">
        <v>255</v>
      </c>
      <c r="E382" t="s">
        <v>1194</v>
      </c>
      <c r="F382" t="s">
        <v>28</v>
      </c>
      <c r="G382">
        <v>0</v>
      </c>
      <c r="H382">
        <v>4.528</v>
      </c>
      <c r="I382">
        <v>4.528</v>
      </c>
      <c r="J382">
        <v>45</v>
      </c>
      <c r="K382">
        <v>27</v>
      </c>
      <c r="L382">
        <v>45</v>
      </c>
      <c r="M382">
        <v>27</v>
      </c>
      <c r="N382">
        <v>45</v>
      </c>
      <c r="O382">
        <v>1</v>
      </c>
      <c r="P382">
        <v>0.8993777777777778</v>
      </c>
    </row>
    <row r="383" spans="1:16" x14ac:dyDescent="0.25">
      <c r="A383">
        <v>377</v>
      </c>
      <c r="B383" t="s">
        <v>940</v>
      </c>
      <c r="C383" t="s">
        <v>1195</v>
      </c>
      <c r="D383" t="s">
        <v>255</v>
      </c>
      <c r="E383" t="s">
        <v>1196</v>
      </c>
      <c r="F383" t="s">
        <v>28</v>
      </c>
      <c r="G383">
        <v>0</v>
      </c>
      <c r="H383">
        <v>4.528</v>
      </c>
      <c r="I383">
        <v>4.528</v>
      </c>
      <c r="J383">
        <v>11</v>
      </c>
      <c r="K383">
        <v>9.5</v>
      </c>
      <c r="L383">
        <v>11</v>
      </c>
      <c r="M383">
        <v>9.5</v>
      </c>
      <c r="N383">
        <v>11</v>
      </c>
      <c r="O383">
        <v>1</v>
      </c>
      <c r="P383">
        <v>0.5883636363636364</v>
      </c>
    </row>
    <row r="384" spans="1:16" x14ac:dyDescent="0.25">
      <c r="A384">
        <v>378</v>
      </c>
      <c r="B384" t="s">
        <v>940</v>
      </c>
      <c r="C384" t="s">
        <v>1197</v>
      </c>
      <c r="D384" t="s">
        <v>255</v>
      </c>
      <c r="E384" t="s">
        <v>1198</v>
      </c>
      <c r="F384" t="s">
        <v>28</v>
      </c>
      <c r="G384">
        <v>0</v>
      </c>
      <c r="H384">
        <v>4.528</v>
      </c>
      <c r="I384">
        <v>4.528</v>
      </c>
      <c r="J384">
        <v>11</v>
      </c>
      <c r="K384">
        <v>9.5</v>
      </c>
      <c r="L384">
        <v>11</v>
      </c>
      <c r="M384">
        <v>9.5</v>
      </c>
      <c r="N384">
        <v>11</v>
      </c>
      <c r="O384">
        <v>1</v>
      </c>
      <c r="P384">
        <v>0.5883636363636364</v>
      </c>
    </row>
    <row r="385" spans="1:16" x14ac:dyDescent="0.25">
      <c r="A385">
        <v>379</v>
      </c>
      <c r="B385" t="s">
        <v>940</v>
      </c>
      <c r="C385" t="s">
        <v>1199</v>
      </c>
      <c r="D385" t="s">
        <v>255</v>
      </c>
      <c r="E385" t="s">
        <v>1200</v>
      </c>
      <c r="F385" t="s">
        <v>28</v>
      </c>
      <c r="G385">
        <v>0</v>
      </c>
      <c r="H385">
        <v>4.528</v>
      </c>
      <c r="I385">
        <v>4.528</v>
      </c>
      <c r="J385">
        <v>11</v>
      </c>
      <c r="K385">
        <v>9.5</v>
      </c>
      <c r="L385">
        <v>11</v>
      </c>
      <c r="M385">
        <v>9.5</v>
      </c>
      <c r="N385">
        <v>11</v>
      </c>
      <c r="O385">
        <v>1</v>
      </c>
      <c r="P385">
        <v>0.5883636363636364</v>
      </c>
    </row>
    <row r="386" spans="1:16" x14ac:dyDescent="0.25">
      <c r="A386">
        <v>380</v>
      </c>
      <c r="B386" t="s">
        <v>940</v>
      </c>
      <c r="C386" t="s">
        <v>1201</v>
      </c>
      <c r="D386" t="s">
        <v>255</v>
      </c>
      <c r="E386" t="s">
        <v>1202</v>
      </c>
      <c r="F386" t="s">
        <v>28</v>
      </c>
      <c r="G386">
        <v>0</v>
      </c>
      <c r="H386">
        <v>4.528</v>
      </c>
      <c r="I386">
        <v>4.528</v>
      </c>
      <c r="J386">
        <v>11</v>
      </c>
      <c r="K386">
        <v>9.5</v>
      </c>
      <c r="L386">
        <v>11</v>
      </c>
      <c r="M386">
        <v>9.5</v>
      </c>
      <c r="N386">
        <v>11</v>
      </c>
      <c r="O386">
        <v>1</v>
      </c>
      <c r="P386">
        <v>0.5883636363636364</v>
      </c>
    </row>
    <row r="387" spans="1:16" x14ac:dyDescent="0.25">
      <c r="A387">
        <v>381</v>
      </c>
      <c r="B387" t="s">
        <v>940</v>
      </c>
      <c r="C387" t="s">
        <v>1203</v>
      </c>
      <c r="D387" t="s">
        <v>255</v>
      </c>
      <c r="E387" t="s">
        <v>1204</v>
      </c>
      <c r="F387" t="s">
        <v>28</v>
      </c>
      <c r="G387">
        <v>0</v>
      </c>
      <c r="H387">
        <v>4.528</v>
      </c>
      <c r="I387">
        <v>4.528</v>
      </c>
      <c r="J387">
        <v>55</v>
      </c>
      <c r="K387">
        <v>52.5</v>
      </c>
      <c r="L387">
        <v>55</v>
      </c>
      <c r="M387">
        <v>52.5</v>
      </c>
      <c r="N387">
        <v>55</v>
      </c>
      <c r="O387">
        <v>1</v>
      </c>
      <c r="P387">
        <v>0.9176727272727273</v>
      </c>
    </row>
    <row r="388" spans="1:16" x14ac:dyDescent="0.25">
      <c r="A388">
        <v>382</v>
      </c>
      <c r="B388" t="s">
        <v>940</v>
      </c>
      <c r="C388" t="s">
        <v>1205</v>
      </c>
      <c r="D388" t="s">
        <v>255</v>
      </c>
      <c r="E388" t="s">
        <v>1206</v>
      </c>
      <c r="F388" t="s">
        <v>28</v>
      </c>
      <c r="G388">
        <v>0</v>
      </c>
      <c r="H388">
        <v>4.528</v>
      </c>
      <c r="I388">
        <v>4.528</v>
      </c>
      <c r="J388">
        <v>14</v>
      </c>
      <c r="K388">
        <v>11</v>
      </c>
      <c r="L388">
        <v>14</v>
      </c>
      <c r="M388">
        <v>11</v>
      </c>
      <c r="N388">
        <v>14</v>
      </c>
      <c r="O388">
        <v>1</v>
      </c>
      <c r="P388">
        <v>0.6765714285714287</v>
      </c>
    </row>
    <row r="389" spans="1:16" x14ac:dyDescent="0.25">
      <c r="A389">
        <v>383</v>
      </c>
      <c r="B389" t="s">
        <v>940</v>
      </c>
      <c r="C389" t="s">
        <v>1207</v>
      </c>
      <c r="D389" t="s">
        <v>255</v>
      </c>
      <c r="E389" t="s">
        <v>1208</v>
      </c>
      <c r="F389" t="s">
        <v>28</v>
      </c>
      <c r="G389">
        <v>0</v>
      </c>
      <c r="H389">
        <v>4.528</v>
      </c>
      <c r="I389">
        <v>4.528</v>
      </c>
      <c r="J389">
        <v>32</v>
      </c>
      <c r="K389">
        <v>24</v>
      </c>
      <c r="L389">
        <v>32</v>
      </c>
      <c r="M389">
        <v>24</v>
      </c>
      <c r="N389">
        <v>32</v>
      </c>
      <c r="O389">
        <v>1</v>
      </c>
      <c r="P389">
        <v>0.8585</v>
      </c>
    </row>
    <row r="390" spans="1:16" x14ac:dyDescent="0.25">
      <c r="A390">
        <v>384</v>
      </c>
      <c r="B390" t="s">
        <v>940</v>
      </c>
      <c r="C390" t="s">
        <v>1209</v>
      </c>
      <c r="D390" t="s">
        <v>255</v>
      </c>
      <c r="E390" t="s">
        <v>1210</v>
      </c>
      <c r="F390" t="s">
        <v>28</v>
      </c>
      <c r="G390">
        <v>0</v>
      </c>
      <c r="H390">
        <v>4.528</v>
      </c>
      <c r="I390">
        <v>4.528</v>
      </c>
      <c r="J390">
        <v>31</v>
      </c>
      <c r="K390">
        <v>21.5</v>
      </c>
      <c r="L390">
        <v>31</v>
      </c>
      <c r="M390">
        <v>21.5</v>
      </c>
      <c r="N390">
        <v>31</v>
      </c>
      <c r="O390">
        <v>1</v>
      </c>
      <c r="P390">
        <v>0.8539354838709677</v>
      </c>
    </row>
    <row r="391" spans="1:16" x14ac:dyDescent="0.25">
      <c r="A391">
        <v>385</v>
      </c>
      <c r="B391" t="s">
        <v>940</v>
      </c>
      <c r="C391" t="s">
        <v>1211</v>
      </c>
      <c r="D391" t="s">
        <v>255</v>
      </c>
      <c r="E391" t="s">
        <v>1212</v>
      </c>
      <c r="F391" t="s">
        <v>28</v>
      </c>
      <c r="G391">
        <v>0</v>
      </c>
      <c r="H391">
        <v>4.528</v>
      </c>
      <c r="I391">
        <v>4.528</v>
      </c>
      <c r="J391">
        <v>11</v>
      </c>
      <c r="K391">
        <v>6.5</v>
      </c>
      <c r="L391">
        <v>11</v>
      </c>
      <c r="M391">
        <v>6.5</v>
      </c>
      <c r="N391">
        <v>11</v>
      </c>
      <c r="O391">
        <v>1</v>
      </c>
      <c r="P391">
        <v>0.5883636363636364</v>
      </c>
    </row>
    <row r="392" spans="1:16" x14ac:dyDescent="0.25">
      <c r="A392">
        <v>386</v>
      </c>
      <c r="B392" t="s">
        <v>940</v>
      </c>
      <c r="C392" t="s">
        <v>1213</v>
      </c>
      <c r="D392" t="s">
        <v>255</v>
      </c>
      <c r="E392" t="s">
        <v>1214</v>
      </c>
      <c r="F392" t="s">
        <v>28</v>
      </c>
      <c r="G392">
        <v>0</v>
      </c>
      <c r="H392">
        <v>4.528</v>
      </c>
      <c r="I392">
        <v>4.528</v>
      </c>
      <c r="J392">
        <v>11</v>
      </c>
      <c r="K392">
        <v>6.5</v>
      </c>
      <c r="L392">
        <v>11</v>
      </c>
      <c r="M392">
        <v>6.5</v>
      </c>
      <c r="N392">
        <v>11</v>
      </c>
      <c r="O392">
        <v>1</v>
      </c>
      <c r="P392">
        <v>0.5883636363636364</v>
      </c>
    </row>
    <row r="393" spans="1:16" x14ac:dyDescent="0.25">
      <c r="A393">
        <v>387</v>
      </c>
      <c r="B393" t="s">
        <v>940</v>
      </c>
      <c r="C393" t="s">
        <v>1215</v>
      </c>
      <c r="D393" t="s">
        <v>255</v>
      </c>
      <c r="E393" t="s">
        <v>1216</v>
      </c>
      <c r="F393" t="s">
        <v>28</v>
      </c>
      <c r="G393">
        <v>0</v>
      </c>
      <c r="H393">
        <v>4.528</v>
      </c>
      <c r="I393">
        <v>4.528</v>
      </c>
      <c r="J393">
        <v>2</v>
      </c>
      <c r="K393">
        <v>1.5</v>
      </c>
      <c r="L393">
        <v>2</v>
      </c>
      <c r="M393">
        <v>1.5</v>
      </c>
      <c r="N393">
        <v>2</v>
      </c>
      <c r="O393">
        <v>1</v>
      </c>
      <c r="P393">
        <v>-1.2639999999999998</v>
      </c>
    </row>
    <row r="394" spans="1:16" x14ac:dyDescent="0.25">
      <c r="A394">
        <v>388</v>
      </c>
      <c r="B394" t="s">
        <v>940</v>
      </c>
      <c r="C394" t="s">
        <v>1217</v>
      </c>
      <c r="D394" t="s">
        <v>255</v>
      </c>
      <c r="E394" t="s">
        <v>1218</v>
      </c>
      <c r="F394" t="s">
        <v>28</v>
      </c>
      <c r="G394">
        <v>0</v>
      </c>
      <c r="H394">
        <v>4.528</v>
      </c>
      <c r="I394">
        <v>4.528</v>
      </c>
      <c r="J394">
        <v>14</v>
      </c>
      <c r="K394">
        <v>12.5</v>
      </c>
      <c r="L394">
        <v>14</v>
      </c>
      <c r="M394">
        <v>12.5</v>
      </c>
      <c r="N394">
        <v>14</v>
      </c>
      <c r="O394">
        <v>1</v>
      </c>
      <c r="P394">
        <v>0.6765714285714287</v>
      </c>
    </row>
    <row r="395" spans="1:16" x14ac:dyDescent="0.25">
      <c r="A395">
        <v>389</v>
      </c>
      <c r="B395" t="s">
        <v>940</v>
      </c>
      <c r="C395" t="s">
        <v>1219</v>
      </c>
      <c r="D395" t="s">
        <v>255</v>
      </c>
      <c r="E395" t="s">
        <v>1220</v>
      </c>
      <c r="F395" t="s">
        <v>28</v>
      </c>
      <c r="G395">
        <v>0</v>
      </c>
      <c r="H395">
        <v>4.528</v>
      </c>
      <c r="I395">
        <v>4.528</v>
      </c>
      <c r="J395">
        <v>17</v>
      </c>
      <c r="K395">
        <v>15.5</v>
      </c>
      <c r="L395">
        <v>17</v>
      </c>
      <c r="M395">
        <v>15.5</v>
      </c>
      <c r="N395">
        <v>17</v>
      </c>
      <c r="O395">
        <v>1</v>
      </c>
      <c r="P395">
        <v>0.7336470588235295</v>
      </c>
    </row>
    <row r="396" spans="1:16" x14ac:dyDescent="0.25">
      <c r="A396">
        <v>390</v>
      </c>
      <c r="B396" t="s">
        <v>940</v>
      </c>
      <c r="C396" t="s">
        <v>1221</v>
      </c>
      <c r="D396" t="s">
        <v>255</v>
      </c>
      <c r="E396" t="s">
        <v>1222</v>
      </c>
      <c r="F396" t="s">
        <v>28</v>
      </c>
      <c r="G396">
        <v>0</v>
      </c>
      <c r="H396">
        <v>4.528</v>
      </c>
      <c r="I396">
        <v>4.528</v>
      </c>
      <c r="J396">
        <v>5</v>
      </c>
      <c r="K396">
        <v>3.5</v>
      </c>
      <c r="L396">
        <v>5</v>
      </c>
      <c r="M396">
        <v>3.5</v>
      </c>
      <c r="N396">
        <v>5</v>
      </c>
      <c r="O396">
        <v>1</v>
      </c>
      <c r="P396">
        <v>0.09440000000000008</v>
      </c>
    </row>
    <row r="397" spans="1:16" x14ac:dyDescent="0.25">
      <c r="A397">
        <v>391</v>
      </c>
      <c r="B397" t="s">
        <v>940</v>
      </c>
      <c r="C397" t="s">
        <v>1223</v>
      </c>
      <c r="D397" t="s">
        <v>255</v>
      </c>
      <c r="E397" t="s">
        <v>1224</v>
      </c>
      <c r="F397" t="s">
        <v>28</v>
      </c>
      <c r="G397">
        <v>0</v>
      </c>
      <c r="H397">
        <v>4.528</v>
      </c>
      <c r="I397">
        <v>4.528</v>
      </c>
      <c r="J397">
        <v>5</v>
      </c>
      <c r="K397">
        <v>2.5</v>
      </c>
      <c r="L397">
        <v>5</v>
      </c>
      <c r="M397">
        <v>2.5</v>
      </c>
      <c r="N397">
        <v>5</v>
      </c>
      <c r="O397">
        <v>1</v>
      </c>
      <c r="P397">
        <v>0.09440000000000008</v>
      </c>
    </row>
    <row r="398" spans="1:16" x14ac:dyDescent="0.25">
      <c r="A398">
        <v>392</v>
      </c>
      <c r="B398" t="s">
        <v>940</v>
      </c>
      <c r="C398" t="s">
        <v>1225</v>
      </c>
      <c r="D398" t="s">
        <v>255</v>
      </c>
      <c r="E398" t="s">
        <v>1226</v>
      </c>
      <c r="F398" t="s">
        <v>28</v>
      </c>
      <c r="G398">
        <v>0</v>
      </c>
      <c r="H398">
        <v>4.528</v>
      </c>
      <c r="I398">
        <v>4.528</v>
      </c>
      <c r="J398">
        <v>29</v>
      </c>
      <c r="K398">
        <v>14.5</v>
      </c>
      <c r="L398">
        <v>29</v>
      </c>
      <c r="M398">
        <v>14.5</v>
      </c>
      <c r="N398">
        <v>29</v>
      </c>
      <c r="O398">
        <v>1</v>
      </c>
      <c r="P398">
        <v>0.8438620689655173</v>
      </c>
    </row>
    <row r="399" spans="1:16" x14ac:dyDescent="0.25">
      <c r="A399">
        <v>393</v>
      </c>
      <c r="B399" t="s">
        <v>940</v>
      </c>
      <c r="C399" t="s">
        <v>1227</v>
      </c>
      <c r="D399" t="s">
        <v>255</v>
      </c>
      <c r="E399" t="s">
        <v>1228</v>
      </c>
      <c r="F399" t="s">
        <v>28</v>
      </c>
      <c r="G399">
        <v>0</v>
      </c>
      <c r="H399">
        <v>4.528</v>
      </c>
      <c r="I399">
        <v>4.528</v>
      </c>
      <c r="J399">
        <v>4</v>
      </c>
      <c r="K399">
        <v>2</v>
      </c>
      <c r="L399">
        <v>4</v>
      </c>
      <c r="M399">
        <v>2</v>
      </c>
      <c r="N399">
        <v>4</v>
      </c>
      <c r="O399">
        <v>1</v>
      </c>
      <c r="P399">
        <v>-0.1319999999999999</v>
      </c>
    </row>
    <row r="400" spans="1:16" x14ac:dyDescent="0.25">
      <c r="A400">
        <v>394</v>
      </c>
      <c r="B400" t="s">
        <v>940</v>
      </c>
      <c r="C400" t="s">
        <v>1229</v>
      </c>
      <c r="D400" t="s">
        <v>255</v>
      </c>
      <c r="E400" t="s">
        <v>1230</v>
      </c>
      <c r="F400" t="s">
        <v>28</v>
      </c>
      <c r="G400">
        <v>0</v>
      </c>
      <c r="H400">
        <v>4.528</v>
      </c>
      <c r="I400">
        <v>4.528</v>
      </c>
      <c r="J400">
        <v>4</v>
      </c>
      <c r="K400">
        <v>2</v>
      </c>
      <c r="L400">
        <v>4</v>
      </c>
      <c r="M400">
        <v>2</v>
      </c>
      <c r="N400">
        <v>4</v>
      </c>
      <c r="O400">
        <v>1</v>
      </c>
      <c r="P400">
        <v>-0.1319999999999999</v>
      </c>
    </row>
    <row r="401" spans="1:16" x14ac:dyDescent="0.25">
      <c r="A401">
        <v>395</v>
      </c>
      <c r="B401" t="s">
        <v>940</v>
      </c>
      <c r="C401" t="s">
        <v>1231</v>
      </c>
      <c r="D401" t="s">
        <v>255</v>
      </c>
      <c r="E401" t="s">
        <v>1232</v>
      </c>
      <c r="F401" t="s">
        <v>28</v>
      </c>
      <c r="G401">
        <v>0</v>
      </c>
      <c r="H401">
        <v>4.528</v>
      </c>
      <c r="I401">
        <v>4.528</v>
      </c>
      <c r="J401">
        <v>13</v>
      </c>
      <c r="K401">
        <v>9</v>
      </c>
      <c r="L401">
        <v>13</v>
      </c>
      <c r="M401">
        <v>9</v>
      </c>
      <c r="N401">
        <v>13</v>
      </c>
      <c r="O401">
        <v>1</v>
      </c>
      <c r="P401">
        <v>0.6516923076923078</v>
      </c>
    </row>
    <row r="402" spans="1:16" x14ac:dyDescent="0.25">
      <c r="A402">
        <v>396</v>
      </c>
      <c r="B402" t="s">
        <v>940</v>
      </c>
      <c r="C402" t="s">
        <v>1233</v>
      </c>
      <c r="D402" t="s">
        <v>255</v>
      </c>
      <c r="E402" t="s">
        <v>1234</v>
      </c>
      <c r="F402" t="s">
        <v>28</v>
      </c>
      <c r="G402">
        <v>0</v>
      </c>
      <c r="H402">
        <v>4.528</v>
      </c>
      <c r="I402">
        <v>4.528</v>
      </c>
      <c r="J402">
        <v>3</v>
      </c>
      <c r="K402">
        <v>2</v>
      </c>
      <c r="L402">
        <v>3</v>
      </c>
      <c r="M402">
        <v>2</v>
      </c>
      <c r="N402">
        <v>3</v>
      </c>
      <c r="O402">
        <v>1</v>
      </c>
      <c r="P402">
        <v>-0.5093333333333332</v>
      </c>
    </row>
    <row r="403" spans="1:16" x14ac:dyDescent="0.25">
      <c r="A403">
        <v>397</v>
      </c>
      <c r="B403" t="s">
        <v>940</v>
      </c>
      <c r="C403" t="s">
        <v>1235</v>
      </c>
      <c r="D403" t="s">
        <v>255</v>
      </c>
      <c r="E403" t="s">
        <v>1236</v>
      </c>
      <c r="F403" t="s">
        <v>28</v>
      </c>
      <c r="G403">
        <v>0</v>
      </c>
      <c r="H403">
        <v>4.528</v>
      </c>
      <c r="I403">
        <v>4.528</v>
      </c>
      <c r="J403">
        <v>15</v>
      </c>
      <c r="K403">
        <v>12</v>
      </c>
      <c r="L403">
        <v>15</v>
      </c>
      <c r="M403">
        <v>12</v>
      </c>
      <c r="N403">
        <v>15</v>
      </c>
      <c r="O403">
        <v>1</v>
      </c>
      <c r="P403">
        <v>0.6981333333333334</v>
      </c>
    </row>
    <row r="404" spans="1:16" x14ac:dyDescent="0.25">
      <c r="A404">
        <v>398</v>
      </c>
      <c r="B404" t="s">
        <v>940</v>
      </c>
      <c r="C404" t="s">
        <v>1237</v>
      </c>
      <c r="D404" t="s">
        <v>255</v>
      </c>
      <c r="E404" t="s">
        <v>1238</v>
      </c>
      <c r="F404" t="s">
        <v>28</v>
      </c>
      <c r="G404">
        <v>0</v>
      </c>
      <c r="H404">
        <v>4.528</v>
      </c>
      <c r="I404">
        <v>4.528</v>
      </c>
      <c r="J404">
        <v>21</v>
      </c>
      <c r="K404">
        <v>10.5</v>
      </c>
      <c r="L404">
        <v>21</v>
      </c>
      <c r="M404">
        <v>10.5</v>
      </c>
      <c r="N404">
        <v>21</v>
      </c>
      <c r="O404">
        <v>1</v>
      </c>
      <c r="P404">
        <v>0.7843809523809524</v>
      </c>
    </row>
    <row r="405" spans="1:16" x14ac:dyDescent="0.25">
      <c r="A405">
        <v>399</v>
      </c>
      <c r="B405" t="s">
        <v>940</v>
      </c>
      <c r="C405" t="s">
        <v>1239</v>
      </c>
      <c r="D405" t="s">
        <v>255</v>
      </c>
      <c r="E405" t="s">
        <v>1240</v>
      </c>
      <c r="F405" t="s">
        <v>28</v>
      </c>
      <c r="G405">
        <v>0</v>
      </c>
      <c r="H405">
        <v>4.528</v>
      </c>
      <c r="I405">
        <v>4.528</v>
      </c>
      <c r="J405">
        <v>16</v>
      </c>
      <c r="K405">
        <v>12</v>
      </c>
      <c r="L405">
        <v>16</v>
      </c>
      <c r="M405">
        <v>12</v>
      </c>
      <c r="N405">
        <v>16</v>
      </c>
      <c r="O405">
        <v>1</v>
      </c>
      <c r="P405">
        <v>0.7170000000000001</v>
      </c>
    </row>
    <row r="406" spans="1:16" x14ac:dyDescent="0.25">
      <c r="A406">
        <v>400</v>
      </c>
      <c r="B406" t="s">
        <v>940</v>
      </c>
      <c r="C406" t="s">
        <v>1241</v>
      </c>
      <c r="D406" t="s">
        <v>255</v>
      </c>
      <c r="E406" t="s">
        <v>1242</v>
      </c>
      <c r="F406" t="s">
        <v>28</v>
      </c>
      <c r="G406">
        <v>0</v>
      </c>
      <c r="H406">
        <v>4.528</v>
      </c>
      <c r="I406">
        <v>4.528</v>
      </c>
      <c r="J406">
        <v>16</v>
      </c>
      <c r="K406">
        <v>10.5</v>
      </c>
      <c r="L406">
        <v>16</v>
      </c>
      <c r="M406">
        <v>10.5</v>
      </c>
      <c r="N406">
        <v>16</v>
      </c>
      <c r="O406">
        <v>1</v>
      </c>
      <c r="P406">
        <v>0.7170000000000001</v>
      </c>
    </row>
    <row r="407" spans="1:16" x14ac:dyDescent="0.25">
      <c r="A407">
        <v>401</v>
      </c>
      <c r="B407" t="s">
        <v>940</v>
      </c>
      <c r="C407" t="s">
        <v>1243</v>
      </c>
      <c r="D407" t="s">
        <v>255</v>
      </c>
      <c r="E407" t="s">
        <v>1244</v>
      </c>
      <c r="F407" t="s">
        <v>28</v>
      </c>
      <c r="G407">
        <v>0</v>
      </c>
      <c r="H407">
        <v>4.528</v>
      </c>
      <c r="I407">
        <v>4.528</v>
      </c>
      <c r="J407">
        <v>17</v>
      </c>
      <c r="K407">
        <v>12</v>
      </c>
      <c r="L407">
        <v>17</v>
      </c>
      <c r="M407">
        <v>12</v>
      </c>
      <c r="N407">
        <v>17</v>
      </c>
      <c r="O407">
        <v>1</v>
      </c>
      <c r="P407">
        <v>0.7336470588235295</v>
      </c>
    </row>
    <row r="408" spans="1:16" x14ac:dyDescent="0.25">
      <c r="A408">
        <v>402</v>
      </c>
      <c r="B408" t="s">
        <v>940</v>
      </c>
      <c r="C408" t="s">
        <v>1245</v>
      </c>
      <c r="D408" t="s">
        <v>255</v>
      </c>
      <c r="E408" t="s">
        <v>1246</v>
      </c>
      <c r="F408" t="s">
        <v>28</v>
      </c>
      <c r="G408">
        <v>0</v>
      </c>
      <c r="H408">
        <v>4.528</v>
      </c>
      <c r="I408">
        <v>4.528</v>
      </c>
      <c r="J408">
        <v>13</v>
      </c>
      <c r="K408">
        <v>9</v>
      </c>
      <c r="L408">
        <v>13</v>
      </c>
      <c r="M408">
        <v>9</v>
      </c>
      <c r="N408">
        <v>13</v>
      </c>
      <c r="O408">
        <v>1</v>
      </c>
      <c r="P408">
        <v>0.6516923076923078</v>
      </c>
    </row>
    <row r="409" spans="1:16" x14ac:dyDescent="0.25">
      <c r="A409">
        <v>403</v>
      </c>
      <c r="B409" t="s">
        <v>940</v>
      </c>
      <c r="C409" t="s">
        <v>1247</v>
      </c>
      <c r="D409" t="s">
        <v>255</v>
      </c>
      <c r="E409" t="s">
        <v>1248</v>
      </c>
      <c r="F409" t="s">
        <v>28</v>
      </c>
      <c r="G409">
        <v>0</v>
      </c>
      <c r="H409">
        <v>4.528</v>
      </c>
      <c r="I409">
        <v>4.528</v>
      </c>
      <c r="J409">
        <v>14</v>
      </c>
      <c r="K409">
        <v>11</v>
      </c>
      <c r="L409">
        <v>14</v>
      </c>
      <c r="M409">
        <v>11</v>
      </c>
      <c r="N409">
        <v>14</v>
      </c>
      <c r="O409">
        <v>1</v>
      </c>
      <c r="P409">
        <v>0.6765714285714287</v>
      </c>
    </row>
    <row r="410" spans="1:16" x14ac:dyDescent="0.25">
      <c r="A410">
        <v>404</v>
      </c>
      <c r="B410" t="s">
        <v>940</v>
      </c>
      <c r="C410" t="s">
        <v>1249</v>
      </c>
      <c r="D410" t="s">
        <v>255</v>
      </c>
      <c r="E410" t="s">
        <v>1250</v>
      </c>
      <c r="F410" t="s">
        <v>28</v>
      </c>
      <c r="G410">
        <v>0</v>
      </c>
      <c r="H410">
        <v>4.528</v>
      </c>
      <c r="I410">
        <v>4.528</v>
      </c>
      <c r="J410">
        <v>24</v>
      </c>
      <c r="K410">
        <v>17</v>
      </c>
      <c r="L410">
        <v>24</v>
      </c>
      <c r="M410">
        <v>17</v>
      </c>
      <c r="N410">
        <v>24</v>
      </c>
      <c r="O410">
        <v>1</v>
      </c>
      <c r="P410">
        <v>0.8113333333333334</v>
      </c>
    </row>
    <row r="411" spans="1:16" x14ac:dyDescent="0.25">
      <c r="A411">
        <v>405</v>
      </c>
      <c r="B411" t="s">
        <v>940</v>
      </c>
      <c r="C411" t="s">
        <v>1251</v>
      </c>
      <c r="D411" t="s">
        <v>255</v>
      </c>
      <c r="E411" t="s">
        <v>1252</v>
      </c>
      <c r="F411" t="s">
        <v>28</v>
      </c>
      <c r="G411">
        <v>0</v>
      </c>
      <c r="H411">
        <v>4.528</v>
      </c>
      <c r="I411">
        <v>4.528</v>
      </c>
      <c r="J411">
        <v>28</v>
      </c>
      <c r="K411">
        <v>22.5</v>
      </c>
      <c r="L411">
        <v>28</v>
      </c>
      <c r="M411">
        <v>22.5</v>
      </c>
      <c r="N411">
        <v>28</v>
      </c>
      <c r="O411">
        <v>1</v>
      </c>
      <c r="P411">
        <v>0.8382857142857143</v>
      </c>
    </row>
    <row r="412" spans="1:16" x14ac:dyDescent="0.25">
      <c r="A412">
        <v>406</v>
      </c>
      <c r="B412" t="s">
        <v>940</v>
      </c>
      <c r="C412" t="s">
        <v>1253</v>
      </c>
      <c r="D412" t="s">
        <v>255</v>
      </c>
      <c r="E412" t="s">
        <v>1254</v>
      </c>
      <c r="F412" t="s">
        <v>28</v>
      </c>
      <c r="G412">
        <v>0</v>
      </c>
      <c r="H412">
        <v>4.528</v>
      </c>
      <c r="I412">
        <v>4.528</v>
      </c>
      <c r="J412">
        <v>30</v>
      </c>
      <c r="K412">
        <v>22.5</v>
      </c>
      <c r="L412">
        <v>30</v>
      </c>
      <c r="M412">
        <v>22.5</v>
      </c>
      <c r="N412">
        <v>30</v>
      </c>
      <c r="O412">
        <v>1</v>
      </c>
      <c r="P412">
        <v>0.8490666666666667</v>
      </c>
    </row>
    <row r="413" spans="1:16" x14ac:dyDescent="0.25">
      <c r="A413">
        <v>407</v>
      </c>
      <c r="B413" t="s">
        <v>940</v>
      </c>
      <c r="C413" t="s">
        <v>1255</v>
      </c>
      <c r="D413" t="s">
        <v>255</v>
      </c>
      <c r="E413" t="s">
        <v>1256</v>
      </c>
      <c r="F413" t="s">
        <v>28</v>
      </c>
      <c r="G413">
        <v>0</v>
      </c>
      <c r="H413">
        <v>4.528</v>
      </c>
      <c r="I413">
        <v>4.528</v>
      </c>
      <c r="J413">
        <v>107</v>
      </c>
      <c r="K413">
        <v>64</v>
      </c>
      <c r="L413">
        <v>107</v>
      </c>
      <c r="M413">
        <v>64</v>
      </c>
      <c r="N413">
        <v>107</v>
      </c>
      <c r="O413">
        <v>1</v>
      </c>
      <c r="P413">
        <v>0.9576822429906542</v>
      </c>
    </row>
    <row r="414" spans="1:16" x14ac:dyDescent="0.25">
      <c r="A414">
        <v>408</v>
      </c>
      <c r="B414" t="s">
        <v>940</v>
      </c>
      <c r="C414" t="s">
        <v>1257</v>
      </c>
      <c r="D414" t="s">
        <v>255</v>
      </c>
      <c r="E414" t="s">
        <v>1258</v>
      </c>
      <c r="F414" t="s">
        <v>28</v>
      </c>
      <c r="G414">
        <v>0</v>
      </c>
      <c r="H414">
        <v>4.528</v>
      </c>
      <c r="I414">
        <v>4.528</v>
      </c>
      <c r="J414">
        <v>19</v>
      </c>
      <c r="K414">
        <v>9.5</v>
      </c>
      <c r="L414">
        <v>19</v>
      </c>
      <c r="M414">
        <v>9.5</v>
      </c>
      <c r="N414">
        <v>19</v>
      </c>
      <c r="O414">
        <v>1</v>
      </c>
      <c r="P414">
        <v>0.7616842105263159</v>
      </c>
    </row>
    <row r="415" spans="1:16" x14ac:dyDescent="0.25">
      <c r="A415">
        <v>409</v>
      </c>
      <c r="B415" t="s">
        <v>940</v>
      </c>
      <c r="C415" t="s">
        <v>1259</v>
      </c>
      <c r="D415" t="s">
        <v>255</v>
      </c>
      <c r="E415" t="s">
        <v>1260</v>
      </c>
      <c r="F415" t="s">
        <v>28</v>
      </c>
      <c r="G415">
        <v>0</v>
      </c>
      <c r="H415">
        <v>4.528</v>
      </c>
      <c r="I415">
        <v>4.528</v>
      </c>
      <c r="J415">
        <v>112</v>
      </c>
      <c r="K415">
        <v>67</v>
      </c>
      <c r="L415">
        <v>112</v>
      </c>
      <c r="M415">
        <v>67</v>
      </c>
      <c r="N415">
        <v>112</v>
      </c>
      <c r="O415">
        <v>1</v>
      </c>
      <c r="P415">
        <v>0.9595714285714285</v>
      </c>
    </row>
    <row r="416" spans="1:16" x14ac:dyDescent="0.25">
      <c r="A416">
        <v>410</v>
      </c>
      <c r="B416" t="s">
        <v>940</v>
      </c>
      <c r="C416" t="s">
        <v>1261</v>
      </c>
      <c r="D416" t="s">
        <v>255</v>
      </c>
      <c r="E416" t="s">
        <v>1262</v>
      </c>
      <c r="F416" t="s">
        <v>28</v>
      </c>
      <c r="G416">
        <v>0</v>
      </c>
      <c r="H416">
        <v>4.528</v>
      </c>
      <c r="I416">
        <v>4.528</v>
      </c>
      <c r="J416">
        <v>5</v>
      </c>
      <c r="K416">
        <v>3</v>
      </c>
      <c r="L416">
        <v>5</v>
      </c>
      <c r="M416">
        <v>3</v>
      </c>
      <c r="N416">
        <v>5</v>
      </c>
      <c r="O416">
        <v>1</v>
      </c>
      <c r="P416">
        <v>0.09440000000000008</v>
      </c>
    </row>
    <row r="417" spans="1:16" x14ac:dyDescent="0.25">
      <c r="A417">
        <v>411</v>
      </c>
      <c r="B417" t="s">
        <v>940</v>
      </c>
      <c r="C417" t="s">
        <v>1263</v>
      </c>
      <c r="D417" t="s">
        <v>255</v>
      </c>
      <c r="E417" t="s">
        <v>1264</v>
      </c>
      <c r="F417" t="s">
        <v>28</v>
      </c>
      <c r="G417">
        <v>0</v>
      </c>
      <c r="H417">
        <v>4.528</v>
      </c>
      <c r="I417">
        <v>4.528</v>
      </c>
      <c r="J417">
        <v>10</v>
      </c>
      <c r="K417">
        <v>6.5</v>
      </c>
      <c r="L417">
        <v>10</v>
      </c>
      <c r="M417">
        <v>6.5</v>
      </c>
      <c r="N417">
        <v>10</v>
      </c>
      <c r="O417">
        <v>1</v>
      </c>
      <c r="P417">
        <v>0.5472</v>
      </c>
    </row>
    <row r="418" spans="1:16" x14ac:dyDescent="0.25">
      <c r="A418">
        <v>412</v>
      </c>
      <c r="B418" t="s">
        <v>940</v>
      </c>
      <c r="C418" t="s">
        <v>1265</v>
      </c>
      <c r="D418" t="s">
        <v>255</v>
      </c>
      <c r="E418" t="s">
        <v>1266</v>
      </c>
      <c r="F418" t="s">
        <v>28</v>
      </c>
      <c r="G418">
        <v>0</v>
      </c>
      <c r="H418">
        <v>4.528</v>
      </c>
      <c r="I418">
        <v>4.528</v>
      </c>
      <c r="J418">
        <v>21</v>
      </c>
      <c r="K418">
        <v>17</v>
      </c>
      <c r="L418">
        <v>21</v>
      </c>
      <c r="M418">
        <v>17</v>
      </c>
      <c r="N418">
        <v>21</v>
      </c>
      <c r="O418">
        <v>1</v>
      </c>
      <c r="P418">
        <v>0.7843809523809524</v>
      </c>
    </row>
    <row r="419" spans="1:16" x14ac:dyDescent="0.25">
      <c r="A419">
        <v>413</v>
      </c>
      <c r="B419" t="s">
        <v>940</v>
      </c>
      <c r="C419" t="s">
        <v>1267</v>
      </c>
      <c r="D419" t="s">
        <v>255</v>
      </c>
      <c r="E419" t="s">
        <v>1268</v>
      </c>
      <c r="F419" t="s">
        <v>28</v>
      </c>
      <c r="G419">
        <v>0</v>
      </c>
      <c r="H419">
        <v>4.528</v>
      </c>
      <c r="I419">
        <v>4.528</v>
      </c>
      <c r="J419">
        <v>10</v>
      </c>
      <c r="K419">
        <v>8</v>
      </c>
      <c r="L419">
        <v>10</v>
      </c>
      <c r="M419">
        <v>8</v>
      </c>
      <c r="N419">
        <v>10</v>
      </c>
      <c r="O419">
        <v>1</v>
      </c>
      <c r="P419">
        <v>0.5472</v>
      </c>
    </row>
    <row r="420" spans="1:16" x14ac:dyDescent="0.25">
      <c r="A420">
        <v>414</v>
      </c>
      <c r="B420" t="s">
        <v>940</v>
      </c>
      <c r="C420" t="s">
        <v>1269</v>
      </c>
      <c r="D420" t="s">
        <v>255</v>
      </c>
      <c r="E420" t="s">
        <v>1270</v>
      </c>
      <c r="F420" t="s">
        <v>28</v>
      </c>
      <c r="G420">
        <v>0</v>
      </c>
      <c r="H420">
        <v>4.528</v>
      </c>
      <c r="I420">
        <v>4.528</v>
      </c>
      <c r="J420">
        <v>10</v>
      </c>
      <c r="K420">
        <v>8</v>
      </c>
      <c r="L420">
        <v>10</v>
      </c>
      <c r="M420">
        <v>8</v>
      </c>
      <c r="N420">
        <v>10</v>
      </c>
      <c r="O420">
        <v>1</v>
      </c>
      <c r="P420">
        <v>0.5472</v>
      </c>
    </row>
    <row r="421" spans="1:16" x14ac:dyDescent="0.25">
      <c r="A421">
        <v>415</v>
      </c>
      <c r="B421" t="s">
        <v>940</v>
      </c>
      <c r="C421" t="s">
        <v>1271</v>
      </c>
      <c r="D421" t="s">
        <v>255</v>
      </c>
      <c r="E421" t="s">
        <v>1272</v>
      </c>
      <c r="F421" t="s">
        <v>28</v>
      </c>
      <c r="G421">
        <v>0</v>
      </c>
      <c r="H421">
        <v>4.528</v>
      </c>
      <c r="I421">
        <v>4.528</v>
      </c>
      <c r="J421">
        <v>18</v>
      </c>
      <c r="K421">
        <v>14.5</v>
      </c>
      <c r="L421">
        <v>18</v>
      </c>
      <c r="M421">
        <v>14.5</v>
      </c>
      <c r="N421">
        <v>18</v>
      </c>
      <c r="O421">
        <v>1</v>
      </c>
      <c r="P421">
        <v>0.7484444444444445</v>
      </c>
    </row>
    <row r="422" spans="1:16" x14ac:dyDescent="0.25">
      <c r="A422">
        <v>416</v>
      </c>
      <c r="B422" t="s">
        <v>940</v>
      </c>
      <c r="C422" t="s">
        <v>1273</v>
      </c>
      <c r="D422" t="s">
        <v>255</v>
      </c>
      <c r="E422" t="s">
        <v>1274</v>
      </c>
      <c r="F422" t="s">
        <v>28</v>
      </c>
      <c r="G422">
        <v>0</v>
      </c>
      <c r="H422">
        <v>4.528</v>
      </c>
      <c r="I422">
        <v>4.528</v>
      </c>
      <c r="J422">
        <v>20</v>
      </c>
      <c r="K422">
        <v>16</v>
      </c>
      <c r="L422">
        <v>20</v>
      </c>
      <c r="M422">
        <v>16</v>
      </c>
      <c r="N422">
        <v>20</v>
      </c>
      <c r="O422">
        <v>1</v>
      </c>
      <c r="P422">
        <v>0.7736000000000001</v>
      </c>
    </row>
    <row r="423" spans="1:16" x14ac:dyDescent="0.25">
      <c r="A423">
        <v>417</v>
      </c>
      <c r="B423" t="s">
        <v>940</v>
      </c>
      <c r="C423" t="s">
        <v>1275</v>
      </c>
      <c r="D423" t="s">
        <v>255</v>
      </c>
      <c r="E423" t="s">
        <v>1276</v>
      </c>
      <c r="F423" t="s">
        <v>28</v>
      </c>
      <c r="G423">
        <v>0</v>
      </c>
      <c r="H423">
        <v>4.528</v>
      </c>
      <c r="I423">
        <v>4.528</v>
      </c>
      <c r="J423">
        <v>15</v>
      </c>
      <c r="K423">
        <v>12</v>
      </c>
      <c r="L423">
        <v>15</v>
      </c>
      <c r="M423">
        <v>12</v>
      </c>
      <c r="N423">
        <v>15</v>
      </c>
      <c r="O423">
        <v>1</v>
      </c>
      <c r="P423">
        <v>0.6981333333333334</v>
      </c>
    </row>
    <row r="424" spans="1:16" x14ac:dyDescent="0.25">
      <c r="A424">
        <v>418</v>
      </c>
      <c r="B424" t="s">
        <v>940</v>
      </c>
      <c r="C424" t="s">
        <v>1277</v>
      </c>
      <c r="D424" t="s">
        <v>255</v>
      </c>
      <c r="E424" t="s">
        <v>1278</v>
      </c>
      <c r="F424" t="s">
        <v>28</v>
      </c>
      <c r="G424">
        <v>0</v>
      </c>
      <c r="H424">
        <v>4.528</v>
      </c>
      <c r="I424">
        <v>4.528</v>
      </c>
      <c r="J424">
        <v>7</v>
      </c>
      <c r="K424">
        <v>6</v>
      </c>
      <c r="L424">
        <v>7</v>
      </c>
      <c r="M424">
        <v>6</v>
      </c>
      <c r="N424">
        <v>7</v>
      </c>
      <c r="O424">
        <v>1</v>
      </c>
      <c r="P424">
        <v>0.3531428571428572</v>
      </c>
    </row>
    <row r="425" spans="1:16" x14ac:dyDescent="0.25">
      <c r="A425">
        <v>419</v>
      </c>
      <c r="B425" t="s">
        <v>940</v>
      </c>
      <c r="C425" t="s">
        <v>1279</v>
      </c>
      <c r="D425" t="s">
        <v>255</v>
      </c>
      <c r="E425" t="s">
        <v>1280</v>
      </c>
      <c r="F425" t="s">
        <v>28</v>
      </c>
      <c r="G425">
        <v>0</v>
      </c>
      <c r="H425">
        <v>4.528</v>
      </c>
      <c r="I425">
        <v>4.528</v>
      </c>
      <c r="J425">
        <v>40</v>
      </c>
      <c r="K425">
        <v>24</v>
      </c>
      <c r="L425">
        <v>40</v>
      </c>
      <c r="M425">
        <v>24</v>
      </c>
      <c r="N425">
        <v>40</v>
      </c>
      <c r="O425">
        <v>1</v>
      </c>
      <c r="P425">
        <v>0.8868</v>
      </c>
    </row>
    <row r="426" spans="1:16" x14ac:dyDescent="0.25">
      <c r="A426">
        <v>420</v>
      </c>
      <c r="B426" t="s">
        <v>940</v>
      </c>
      <c r="C426" t="s">
        <v>1281</v>
      </c>
      <c r="D426" t="s">
        <v>255</v>
      </c>
      <c r="E426" t="s">
        <v>1282</v>
      </c>
      <c r="F426" t="s">
        <v>28</v>
      </c>
      <c r="G426">
        <v>0</v>
      </c>
      <c r="H426">
        <v>4.528</v>
      </c>
      <c r="I426">
        <v>4.528</v>
      </c>
      <c r="J426">
        <v>40</v>
      </c>
      <c r="K426">
        <v>24</v>
      </c>
      <c r="L426">
        <v>40</v>
      </c>
      <c r="M426">
        <v>24</v>
      </c>
      <c r="N426">
        <v>40</v>
      </c>
      <c r="O426">
        <v>1</v>
      </c>
      <c r="P426">
        <v>0.8868</v>
      </c>
    </row>
    <row r="427" spans="1:16" x14ac:dyDescent="0.25">
      <c r="A427">
        <v>421</v>
      </c>
      <c r="B427" t="s">
        <v>940</v>
      </c>
      <c r="C427" t="s">
        <v>1283</v>
      </c>
      <c r="D427" t="s">
        <v>255</v>
      </c>
      <c r="E427" t="s">
        <v>1284</v>
      </c>
      <c r="F427" t="s">
        <v>28</v>
      </c>
      <c r="G427">
        <v>0</v>
      </c>
      <c r="H427">
        <v>4.528</v>
      </c>
      <c r="I427">
        <v>4.528</v>
      </c>
      <c r="J427">
        <v>102</v>
      </c>
      <c r="K427">
        <v>61</v>
      </c>
      <c r="L427">
        <v>102</v>
      </c>
      <c r="M427">
        <v>61</v>
      </c>
      <c r="N427">
        <v>102</v>
      </c>
      <c r="O427">
        <v>1</v>
      </c>
      <c r="P427">
        <v>0.9556078431372549</v>
      </c>
    </row>
    <row r="428" spans="1:16" x14ac:dyDescent="0.25">
      <c r="A428">
        <v>422</v>
      </c>
      <c r="B428" t="s">
        <v>940</v>
      </c>
      <c r="C428" t="s">
        <v>1285</v>
      </c>
      <c r="D428" t="s">
        <v>255</v>
      </c>
      <c r="E428" t="s">
        <v>1286</v>
      </c>
      <c r="F428" t="s">
        <v>28</v>
      </c>
      <c r="G428">
        <v>0</v>
      </c>
      <c r="H428">
        <v>4.528</v>
      </c>
      <c r="I428">
        <v>4.528</v>
      </c>
      <c r="J428">
        <v>21</v>
      </c>
      <c r="K428">
        <v>18</v>
      </c>
      <c r="L428">
        <v>21</v>
      </c>
      <c r="M428">
        <v>18</v>
      </c>
      <c r="N428">
        <v>21</v>
      </c>
      <c r="O428">
        <v>1</v>
      </c>
      <c r="P428">
        <v>0.7843809523809524</v>
      </c>
    </row>
    <row r="429" spans="1:16" x14ac:dyDescent="0.25">
      <c r="A429">
        <v>423</v>
      </c>
      <c r="B429" t="s">
        <v>940</v>
      </c>
      <c r="C429" t="s">
        <v>1287</v>
      </c>
      <c r="D429" t="s">
        <v>255</v>
      </c>
      <c r="E429" t="s">
        <v>1288</v>
      </c>
      <c r="F429" t="s">
        <v>28</v>
      </c>
      <c r="G429">
        <v>0</v>
      </c>
      <c r="H429">
        <v>4.528</v>
      </c>
      <c r="I429">
        <v>4.528</v>
      </c>
      <c r="J429">
        <v>6</v>
      </c>
      <c r="K429">
        <v>4</v>
      </c>
      <c r="L429">
        <v>6</v>
      </c>
      <c r="M429">
        <v>4</v>
      </c>
      <c r="N429">
        <v>6</v>
      </c>
      <c r="O429">
        <v>1</v>
      </c>
      <c r="P429">
        <v>0.2453333333333334</v>
      </c>
    </row>
    <row r="430" spans="1:16" x14ac:dyDescent="0.25">
      <c r="A430">
        <v>424</v>
      </c>
      <c r="B430" t="s">
        <v>940</v>
      </c>
      <c r="C430" t="s">
        <v>1289</v>
      </c>
      <c r="D430" t="s">
        <v>255</v>
      </c>
      <c r="E430" t="s">
        <v>1290</v>
      </c>
      <c r="F430" t="s">
        <v>28</v>
      </c>
      <c r="G430">
        <v>0</v>
      </c>
      <c r="H430">
        <v>4.528</v>
      </c>
      <c r="I430">
        <v>4.528</v>
      </c>
      <c r="J430">
        <v>31</v>
      </c>
      <c r="K430">
        <v>26.5</v>
      </c>
      <c r="L430">
        <v>31</v>
      </c>
      <c r="M430">
        <v>26.5</v>
      </c>
      <c r="N430">
        <v>31</v>
      </c>
      <c r="O430">
        <v>1</v>
      </c>
      <c r="P430">
        <v>0.8539354838709677</v>
      </c>
    </row>
    <row r="431" spans="1:16" x14ac:dyDescent="0.25">
      <c r="A431">
        <v>425</v>
      </c>
      <c r="B431" t="s">
        <v>940</v>
      </c>
      <c r="C431" t="s">
        <v>1291</v>
      </c>
      <c r="D431" t="s">
        <v>255</v>
      </c>
      <c r="E431" t="s">
        <v>1292</v>
      </c>
      <c r="F431" t="s">
        <v>28</v>
      </c>
      <c r="G431">
        <v>0</v>
      </c>
      <c r="H431">
        <v>4.528</v>
      </c>
      <c r="I431">
        <v>4.528</v>
      </c>
      <c r="J431">
        <v>10</v>
      </c>
      <c r="K431">
        <v>6.5</v>
      </c>
      <c r="L431">
        <v>10</v>
      </c>
      <c r="M431">
        <v>6.5</v>
      </c>
      <c r="N431">
        <v>10</v>
      </c>
      <c r="O431">
        <v>1</v>
      </c>
      <c r="P431">
        <v>0.5472</v>
      </c>
    </row>
    <row r="432" spans="1:16" x14ac:dyDescent="0.25">
      <c r="A432">
        <v>426</v>
      </c>
      <c r="B432" t="s">
        <v>940</v>
      </c>
      <c r="C432" t="s">
        <v>1293</v>
      </c>
      <c r="D432" t="s">
        <v>255</v>
      </c>
      <c r="E432" t="s">
        <v>1294</v>
      </c>
      <c r="F432" t="s">
        <v>28</v>
      </c>
      <c r="G432">
        <v>0</v>
      </c>
      <c r="H432">
        <v>4.528</v>
      </c>
      <c r="I432">
        <v>4.528</v>
      </c>
      <c r="J432">
        <v>4</v>
      </c>
      <c r="K432">
        <v>2</v>
      </c>
      <c r="L432">
        <v>4</v>
      </c>
      <c r="M432">
        <v>2</v>
      </c>
      <c r="N432">
        <v>4</v>
      </c>
      <c r="O432">
        <v>1</v>
      </c>
      <c r="P432">
        <v>-0.1319999999999999</v>
      </c>
    </row>
    <row r="433" spans="1:16" x14ac:dyDescent="0.25">
      <c r="A433">
        <v>427</v>
      </c>
      <c r="B433" t="s">
        <v>940</v>
      </c>
      <c r="C433" t="s">
        <v>1295</v>
      </c>
      <c r="D433" t="s">
        <v>255</v>
      </c>
      <c r="E433" t="s">
        <v>1296</v>
      </c>
      <c r="F433" t="s">
        <v>28</v>
      </c>
      <c r="G433">
        <v>0</v>
      </c>
      <c r="H433">
        <v>4.528</v>
      </c>
      <c r="I433">
        <v>4.528</v>
      </c>
      <c r="J433">
        <v>4</v>
      </c>
      <c r="K433">
        <v>2</v>
      </c>
      <c r="L433">
        <v>4</v>
      </c>
      <c r="M433">
        <v>2</v>
      </c>
      <c r="N433">
        <v>4</v>
      </c>
      <c r="O433">
        <v>1</v>
      </c>
      <c r="P433">
        <v>-0.1319999999999999</v>
      </c>
    </row>
    <row r="434" spans="1:16" x14ac:dyDescent="0.25">
      <c r="A434">
        <v>428</v>
      </c>
      <c r="B434" t="s">
        <v>940</v>
      </c>
      <c r="C434" t="s">
        <v>1297</v>
      </c>
      <c r="D434" t="s">
        <v>255</v>
      </c>
      <c r="E434" t="s">
        <v>1298</v>
      </c>
      <c r="F434" t="s">
        <v>28</v>
      </c>
      <c r="G434">
        <v>0</v>
      </c>
      <c r="H434">
        <v>4.528</v>
      </c>
      <c r="I434">
        <v>4.528</v>
      </c>
      <c r="J434">
        <v>23</v>
      </c>
      <c r="K434">
        <v>19.5</v>
      </c>
      <c r="L434">
        <v>23</v>
      </c>
      <c r="M434">
        <v>19.5</v>
      </c>
      <c r="N434">
        <v>23</v>
      </c>
      <c r="O434">
        <v>1</v>
      </c>
      <c r="P434">
        <v>0.8031304347826087</v>
      </c>
    </row>
    <row r="435" spans="1:16" x14ac:dyDescent="0.25">
      <c r="A435">
        <v>429</v>
      </c>
      <c r="B435" t="s">
        <v>940</v>
      </c>
      <c r="C435" t="s">
        <v>1299</v>
      </c>
      <c r="D435" t="s">
        <v>255</v>
      </c>
      <c r="E435" t="s">
        <v>1300</v>
      </c>
      <c r="F435" t="s">
        <v>28</v>
      </c>
      <c r="G435">
        <v>0</v>
      </c>
      <c r="H435">
        <v>4.528</v>
      </c>
      <c r="I435">
        <v>4.528</v>
      </c>
      <c r="J435">
        <v>33</v>
      </c>
      <c r="K435">
        <v>31.5</v>
      </c>
      <c r="L435">
        <v>33</v>
      </c>
      <c r="M435">
        <v>31.5</v>
      </c>
      <c r="N435">
        <v>33</v>
      </c>
      <c r="O435">
        <v>1</v>
      </c>
      <c r="P435">
        <v>0.8627878787878789</v>
      </c>
    </row>
    <row r="436" spans="1:16" x14ac:dyDescent="0.25">
      <c r="A436">
        <v>430</v>
      </c>
      <c r="B436" t="s">
        <v>940</v>
      </c>
      <c r="C436" t="s">
        <v>1301</v>
      </c>
      <c r="D436" t="s">
        <v>255</v>
      </c>
      <c r="E436" t="s">
        <v>1302</v>
      </c>
      <c r="F436" t="s">
        <v>28</v>
      </c>
      <c r="G436">
        <v>0</v>
      </c>
      <c r="H436">
        <v>4.528</v>
      </c>
      <c r="I436">
        <v>4.528</v>
      </c>
      <c r="J436">
        <v>149</v>
      </c>
      <c r="K436">
        <v>141.5</v>
      </c>
      <c r="L436">
        <v>149</v>
      </c>
      <c r="M436">
        <v>141.5</v>
      </c>
      <c r="N436">
        <v>149</v>
      </c>
      <c r="O436">
        <v>1</v>
      </c>
      <c r="P436">
        <v>0.9696107382550336</v>
      </c>
    </row>
    <row r="437" spans="1:16" x14ac:dyDescent="0.25">
      <c r="A437">
        <v>431</v>
      </c>
      <c r="B437" t="s">
        <v>940</v>
      </c>
      <c r="C437" t="s">
        <v>1303</v>
      </c>
      <c r="D437" t="s">
        <v>255</v>
      </c>
      <c r="E437" t="s">
        <v>1304</v>
      </c>
      <c r="F437" t="s">
        <v>28</v>
      </c>
      <c r="G437">
        <v>0</v>
      </c>
      <c r="H437">
        <v>4.528</v>
      </c>
      <c r="I437">
        <v>4.528</v>
      </c>
      <c r="J437">
        <v>153</v>
      </c>
      <c r="K437">
        <v>145.5</v>
      </c>
      <c r="L437">
        <v>153</v>
      </c>
      <c r="M437">
        <v>145.5</v>
      </c>
      <c r="N437">
        <v>153</v>
      </c>
      <c r="O437">
        <v>1</v>
      </c>
      <c r="P437">
        <v>0.97040522875817</v>
      </c>
    </row>
    <row r="438" spans="1:16" x14ac:dyDescent="0.25">
      <c r="A438">
        <v>432</v>
      </c>
      <c r="B438" t="s">
        <v>940</v>
      </c>
      <c r="C438" t="s">
        <v>1305</v>
      </c>
      <c r="D438" t="s">
        <v>255</v>
      </c>
      <c r="E438" t="s">
        <v>1306</v>
      </c>
      <c r="F438" t="s">
        <v>28</v>
      </c>
      <c r="G438">
        <v>0</v>
      </c>
      <c r="H438">
        <v>4.528</v>
      </c>
      <c r="I438">
        <v>4.528</v>
      </c>
      <c r="J438">
        <v>10</v>
      </c>
      <c r="K438">
        <v>8</v>
      </c>
      <c r="L438">
        <v>10</v>
      </c>
      <c r="M438">
        <v>8</v>
      </c>
      <c r="N438">
        <v>10</v>
      </c>
      <c r="O438">
        <v>1</v>
      </c>
      <c r="P438">
        <v>0.5472</v>
      </c>
    </row>
    <row r="439" spans="1:16" x14ac:dyDescent="0.25">
      <c r="A439">
        <v>433</v>
      </c>
      <c r="B439" t="s">
        <v>940</v>
      </c>
      <c r="C439" t="s">
        <v>1307</v>
      </c>
      <c r="D439" t="s">
        <v>255</v>
      </c>
      <c r="E439" t="s">
        <v>1308</v>
      </c>
      <c r="F439" t="s">
        <v>28</v>
      </c>
      <c r="G439">
        <v>0</v>
      </c>
      <c r="H439">
        <v>4.528</v>
      </c>
      <c r="I439">
        <v>4.528</v>
      </c>
      <c r="J439">
        <v>30</v>
      </c>
      <c r="K439">
        <v>28.5</v>
      </c>
      <c r="L439">
        <v>30</v>
      </c>
      <c r="M439">
        <v>28.5</v>
      </c>
      <c r="N439">
        <v>30</v>
      </c>
      <c r="O439">
        <v>1</v>
      </c>
      <c r="P439">
        <v>0.8490666666666667</v>
      </c>
    </row>
    <row r="440" spans="1:16" x14ac:dyDescent="0.25">
      <c r="A440">
        <v>434</v>
      </c>
      <c r="B440" t="s">
        <v>940</v>
      </c>
      <c r="C440" t="s">
        <v>1309</v>
      </c>
      <c r="D440" t="s">
        <v>255</v>
      </c>
      <c r="E440" t="s">
        <v>1310</v>
      </c>
      <c r="F440" t="s">
        <v>28</v>
      </c>
      <c r="G440">
        <v>0</v>
      </c>
      <c r="H440">
        <v>4.528</v>
      </c>
      <c r="I440">
        <v>4.528</v>
      </c>
      <c r="J440">
        <v>45</v>
      </c>
      <c r="K440">
        <v>34</v>
      </c>
      <c r="L440">
        <v>45</v>
      </c>
      <c r="M440">
        <v>34</v>
      </c>
      <c r="N440">
        <v>45</v>
      </c>
      <c r="O440">
        <v>1</v>
      </c>
      <c r="P440">
        <v>0.8993777777777778</v>
      </c>
    </row>
    <row r="441" spans="1:16" x14ac:dyDescent="0.25">
      <c r="A441">
        <v>435</v>
      </c>
      <c r="B441" t="s">
        <v>940</v>
      </c>
      <c r="C441" t="s">
        <v>1311</v>
      </c>
      <c r="D441" t="s">
        <v>255</v>
      </c>
      <c r="E441" t="s">
        <v>1312</v>
      </c>
      <c r="F441" t="s">
        <v>28</v>
      </c>
      <c r="G441">
        <v>0</v>
      </c>
      <c r="H441">
        <v>4.528</v>
      </c>
      <c r="I441">
        <v>4.528</v>
      </c>
      <c r="J441">
        <v>31</v>
      </c>
      <c r="K441">
        <v>29.5</v>
      </c>
      <c r="L441">
        <v>31</v>
      </c>
      <c r="M441">
        <v>29.5</v>
      </c>
      <c r="N441">
        <v>31</v>
      </c>
      <c r="O441">
        <v>1</v>
      </c>
      <c r="P441">
        <v>0.8539354838709677</v>
      </c>
    </row>
    <row r="442" spans="1:16" x14ac:dyDescent="0.25">
      <c r="A442">
        <v>436</v>
      </c>
      <c r="B442" t="s">
        <v>940</v>
      </c>
      <c r="C442" t="s">
        <v>1313</v>
      </c>
      <c r="D442" t="s">
        <v>255</v>
      </c>
      <c r="E442" t="s">
        <v>1314</v>
      </c>
      <c r="F442" t="s">
        <v>28</v>
      </c>
      <c r="G442">
        <v>0</v>
      </c>
      <c r="H442">
        <v>4.528</v>
      </c>
      <c r="I442">
        <v>4.528</v>
      </c>
      <c r="J442">
        <v>35</v>
      </c>
      <c r="K442">
        <v>33.5</v>
      </c>
      <c r="L442">
        <v>35</v>
      </c>
      <c r="M442">
        <v>33.5</v>
      </c>
      <c r="N442">
        <v>35</v>
      </c>
      <c r="O442">
        <v>1</v>
      </c>
      <c r="P442">
        <v>0.8706285714285714</v>
      </c>
    </row>
    <row r="443" spans="1:16" x14ac:dyDescent="0.25">
      <c r="A443">
        <v>437</v>
      </c>
      <c r="B443" t="s">
        <v>940</v>
      </c>
      <c r="C443" t="s">
        <v>1315</v>
      </c>
      <c r="D443" t="s">
        <v>255</v>
      </c>
      <c r="E443" t="s">
        <v>1316</v>
      </c>
      <c r="F443" t="s">
        <v>28</v>
      </c>
      <c r="G443">
        <v>0</v>
      </c>
      <c r="H443">
        <v>4.528</v>
      </c>
      <c r="I443">
        <v>4.528</v>
      </c>
      <c r="J443">
        <v>3</v>
      </c>
      <c r="K443">
        <v>2.5</v>
      </c>
      <c r="L443">
        <v>3</v>
      </c>
      <c r="M443">
        <v>2.5</v>
      </c>
      <c r="N443">
        <v>3</v>
      </c>
      <c r="O443">
        <v>1</v>
      </c>
      <c r="P443">
        <v>-0.5093333333333332</v>
      </c>
    </row>
    <row r="444" spans="1:16" x14ac:dyDescent="0.25">
      <c r="A444">
        <v>438</v>
      </c>
      <c r="B444" t="s">
        <v>940</v>
      </c>
      <c r="C444" t="s">
        <v>1317</v>
      </c>
      <c r="D444" t="s">
        <v>255</v>
      </c>
      <c r="E444" t="s">
        <v>1318</v>
      </c>
      <c r="F444" t="s">
        <v>28</v>
      </c>
      <c r="G444">
        <v>0</v>
      </c>
      <c r="H444">
        <v>4.528</v>
      </c>
      <c r="I444">
        <v>4.528</v>
      </c>
      <c r="J444">
        <v>3</v>
      </c>
      <c r="K444">
        <v>2.5</v>
      </c>
      <c r="L444">
        <v>3</v>
      </c>
      <c r="M444">
        <v>2.5</v>
      </c>
      <c r="N444">
        <v>3</v>
      </c>
      <c r="O444">
        <v>1</v>
      </c>
      <c r="P444">
        <v>-0.5093333333333332</v>
      </c>
    </row>
    <row r="445" spans="1:16" x14ac:dyDescent="0.25">
      <c r="A445">
        <v>439</v>
      </c>
      <c r="B445" t="s">
        <v>940</v>
      </c>
      <c r="C445" t="s">
        <v>1319</v>
      </c>
      <c r="D445" t="s">
        <v>255</v>
      </c>
      <c r="E445" t="s">
        <v>1320</v>
      </c>
      <c r="F445" t="s">
        <v>28</v>
      </c>
      <c r="G445">
        <v>0</v>
      </c>
      <c r="H445">
        <v>4.528</v>
      </c>
      <c r="I445">
        <v>4.528</v>
      </c>
      <c r="J445">
        <v>5</v>
      </c>
      <c r="K445">
        <v>2.5</v>
      </c>
      <c r="L445">
        <v>5</v>
      </c>
      <c r="M445">
        <v>2.5</v>
      </c>
      <c r="N445">
        <v>5</v>
      </c>
      <c r="O445">
        <v>1</v>
      </c>
      <c r="P445">
        <v>0.09440000000000008</v>
      </c>
    </row>
    <row r="446" spans="1:16" x14ac:dyDescent="0.25">
      <c r="A446">
        <v>440</v>
      </c>
      <c r="B446" t="s">
        <v>940</v>
      </c>
      <c r="C446" t="s">
        <v>1321</v>
      </c>
      <c r="D446" t="s">
        <v>255</v>
      </c>
      <c r="E446" t="s">
        <v>1322</v>
      </c>
      <c r="F446" t="s">
        <v>28</v>
      </c>
      <c r="G446">
        <v>0</v>
      </c>
      <c r="H446">
        <v>4.528</v>
      </c>
      <c r="I446">
        <v>4.528</v>
      </c>
      <c r="J446">
        <v>8</v>
      </c>
      <c r="K446">
        <v>5</v>
      </c>
      <c r="L446">
        <v>8</v>
      </c>
      <c r="M446">
        <v>5</v>
      </c>
      <c r="N446">
        <v>8</v>
      </c>
      <c r="O446">
        <v>1</v>
      </c>
      <c r="P446">
        <v>0.43400000000000005</v>
      </c>
    </row>
    <row r="447" spans="1:16" x14ac:dyDescent="0.25">
      <c r="A447">
        <v>441</v>
      </c>
      <c r="B447" t="s">
        <v>940</v>
      </c>
      <c r="C447" t="s">
        <v>1323</v>
      </c>
      <c r="D447" t="s">
        <v>255</v>
      </c>
      <c r="E447" t="s">
        <v>1324</v>
      </c>
      <c r="F447" t="s">
        <v>28</v>
      </c>
      <c r="G447">
        <v>0</v>
      </c>
      <c r="H447">
        <v>4.528</v>
      </c>
      <c r="I447">
        <v>4.528</v>
      </c>
      <c r="J447">
        <v>11</v>
      </c>
      <c r="K447">
        <v>6.5</v>
      </c>
      <c r="L447">
        <v>11</v>
      </c>
      <c r="M447">
        <v>6.5</v>
      </c>
      <c r="N447">
        <v>11</v>
      </c>
      <c r="O447">
        <v>1</v>
      </c>
      <c r="P447">
        <v>0.5883636363636364</v>
      </c>
    </row>
    <row r="448" spans="1:16" x14ac:dyDescent="0.25">
      <c r="A448">
        <v>442</v>
      </c>
      <c r="B448" t="s">
        <v>940</v>
      </c>
      <c r="C448" t="s">
        <v>1325</v>
      </c>
      <c r="D448" t="s">
        <v>255</v>
      </c>
      <c r="E448" t="s">
        <v>1326</v>
      </c>
      <c r="F448" t="s">
        <v>28</v>
      </c>
      <c r="G448">
        <v>0</v>
      </c>
      <c r="H448">
        <v>4.528</v>
      </c>
      <c r="I448">
        <v>4.528</v>
      </c>
      <c r="J448">
        <v>4</v>
      </c>
      <c r="K448">
        <v>3</v>
      </c>
      <c r="L448">
        <v>4</v>
      </c>
      <c r="M448">
        <v>3</v>
      </c>
      <c r="N448">
        <v>4</v>
      </c>
      <c r="O448">
        <v>1</v>
      </c>
      <c r="P448">
        <v>-0.1319999999999999</v>
      </c>
    </row>
    <row r="449" spans="1:16" x14ac:dyDescent="0.25">
      <c r="A449">
        <v>443</v>
      </c>
      <c r="B449" t="s">
        <v>940</v>
      </c>
      <c r="C449" t="s">
        <v>1327</v>
      </c>
      <c r="D449" t="s">
        <v>255</v>
      </c>
      <c r="E449" t="s">
        <v>1328</v>
      </c>
      <c r="F449" t="s">
        <v>28</v>
      </c>
      <c r="G449">
        <v>0</v>
      </c>
      <c r="H449">
        <v>4.528</v>
      </c>
      <c r="I449">
        <v>4.528</v>
      </c>
      <c r="J449">
        <v>9</v>
      </c>
      <c r="K449">
        <v>8.5</v>
      </c>
      <c r="L449">
        <v>9</v>
      </c>
      <c r="M449">
        <v>8.5</v>
      </c>
      <c r="N449">
        <v>9</v>
      </c>
      <c r="O449">
        <v>1</v>
      </c>
      <c r="P449">
        <v>0.49688888888888894</v>
      </c>
    </row>
    <row r="450" spans="1:16" x14ac:dyDescent="0.25">
      <c r="A450">
        <v>444</v>
      </c>
      <c r="B450" t="s">
        <v>940</v>
      </c>
      <c r="C450" t="s">
        <v>1329</v>
      </c>
      <c r="D450" t="s">
        <v>255</v>
      </c>
      <c r="E450" t="s">
        <v>1330</v>
      </c>
      <c r="F450" t="s">
        <v>28</v>
      </c>
      <c r="G450">
        <v>0</v>
      </c>
      <c r="H450">
        <v>4.528</v>
      </c>
      <c r="I450">
        <v>4.528</v>
      </c>
      <c r="J450">
        <v>4</v>
      </c>
      <c r="K450">
        <v>3</v>
      </c>
      <c r="L450">
        <v>4</v>
      </c>
      <c r="M450">
        <v>3</v>
      </c>
      <c r="N450">
        <v>4</v>
      </c>
      <c r="O450">
        <v>1</v>
      </c>
      <c r="P450">
        <v>-0.1319999999999999</v>
      </c>
    </row>
    <row r="451" spans="1:16" x14ac:dyDescent="0.25">
      <c r="A451">
        <v>445</v>
      </c>
      <c r="B451" t="s">
        <v>940</v>
      </c>
      <c r="C451" t="s">
        <v>1331</v>
      </c>
      <c r="D451" t="s">
        <v>255</v>
      </c>
      <c r="E451" t="s">
        <v>1332</v>
      </c>
      <c r="F451" t="s">
        <v>28</v>
      </c>
      <c r="G451">
        <v>0</v>
      </c>
      <c r="H451">
        <v>4.528</v>
      </c>
      <c r="I451">
        <v>4.528</v>
      </c>
      <c r="J451">
        <v>4</v>
      </c>
      <c r="K451">
        <v>3</v>
      </c>
      <c r="L451">
        <v>4</v>
      </c>
      <c r="M451">
        <v>3</v>
      </c>
      <c r="N451">
        <v>4</v>
      </c>
      <c r="O451">
        <v>1</v>
      </c>
      <c r="P451">
        <v>-0.1319999999999999</v>
      </c>
    </row>
    <row r="452" spans="1:16" x14ac:dyDescent="0.25">
      <c r="A452">
        <v>446</v>
      </c>
      <c r="B452" t="s">
        <v>940</v>
      </c>
      <c r="C452" t="s">
        <v>1333</v>
      </c>
      <c r="D452" t="s">
        <v>255</v>
      </c>
      <c r="E452" t="s">
        <v>1334</v>
      </c>
      <c r="F452" t="s">
        <v>28</v>
      </c>
      <c r="G452">
        <v>0</v>
      </c>
      <c r="H452">
        <v>4.528</v>
      </c>
      <c r="I452">
        <v>4.528</v>
      </c>
      <c r="J452">
        <v>3</v>
      </c>
      <c r="K452">
        <v>2</v>
      </c>
      <c r="L452">
        <v>3</v>
      </c>
      <c r="M452">
        <v>2</v>
      </c>
      <c r="N452">
        <v>3</v>
      </c>
      <c r="O452">
        <v>1</v>
      </c>
      <c r="P452">
        <v>-0.5093333333333332</v>
      </c>
    </row>
    <row r="453" spans="1:16" x14ac:dyDescent="0.25">
      <c r="A453">
        <v>447</v>
      </c>
      <c r="B453" t="s">
        <v>940</v>
      </c>
      <c r="C453" t="s">
        <v>1335</v>
      </c>
      <c r="D453" t="s">
        <v>255</v>
      </c>
      <c r="E453" t="s">
        <v>1336</v>
      </c>
      <c r="F453" t="s">
        <v>28</v>
      </c>
      <c r="G453">
        <v>0</v>
      </c>
      <c r="H453">
        <v>4.528</v>
      </c>
      <c r="I453">
        <v>4.528</v>
      </c>
      <c r="J453">
        <v>3</v>
      </c>
      <c r="K453">
        <v>2</v>
      </c>
      <c r="L453">
        <v>3</v>
      </c>
      <c r="M453">
        <v>2</v>
      </c>
      <c r="N453">
        <v>3</v>
      </c>
      <c r="O453">
        <v>1</v>
      </c>
      <c r="P453">
        <v>-0.5093333333333332</v>
      </c>
    </row>
    <row r="454" spans="1:16" x14ac:dyDescent="0.25">
      <c r="A454">
        <v>448</v>
      </c>
      <c r="B454" t="s">
        <v>940</v>
      </c>
      <c r="C454" t="s">
        <v>1337</v>
      </c>
      <c r="D454" t="s">
        <v>255</v>
      </c>
      <c r="E454" t="s">
        <v>1338</v>
      </c>
      <c r="F454" t="s">
        <v>28</v>
      </c>
      <c r="G454">
        <v>0</v>
      </c>
      <c r="H454">
        <v>4.528</v>
      </c>
      <c r="I454">
        <v>4.528</v>
      </c>
      <c r="J454">
        <v>3</v>
      </c>
      <c r="K454">
        <v>2</v>
      </c>
      <c r="L454">
        <v>3</v>
      </c>
      <c r="M454">
        <v>2</v>
      </c>
      <c r="N454">
        <v>3</v>
      </c>
      <c r="O454">
        <v>1</v>
      </c>
      <c r="P454">
        <v>-0.5093333333333332</v>
      </c>
    </row>
    <row r="455" spans="1:16" x14ac:dyDescent="0.25">
      <c r="A455">
        <v>449</v>
      </c>
      <c r="B455" t="s">
        <v>940</v>
      </c>
      <c r="C455" t="s">
        <v>1339</v>
      </c>
      <c r="D455" t="s">
        <v>255</v>
      </c>
      <c r="E455" t="s">
        <v>1340</v>
      </c>
      <c r="F455" t="s">
        <v>28</v>
      </c>
      <c r="G455">
        <v>0</v>
      </c>
      <c r="H455">
        <v>4.528</v>
      </c>
      <c r="I455">
        <v>4.528</v>
      </c>
      <c r="J455">
        <v>3</v>
      </c>
      <c r="K455">
        <v>2</v>
      </c>
      <c r="L455">
        <v>3</v>
      </c>
      <c r="M455">
        <v>2</v>
      </c>
      <c r="N455">
        <v>3</v>
      </c>
      <c r="O455">
        <v>1</v>
      </c>
      <c r="P455">
        <v>-0.5093333333333332</v>
      </c>
    </row>
    <row r="456" spans="1:16" x14ac:dyDescent="0.25">
      <c r="A456">
        <v>450</v>
      </c>
      <c r="B456" t="s">
        <v>940</v>
      </c>
      <c r="C456" t="s">
        <v>1341</v>
      </c>
      <c r="D456" t="s">
        <v>255</v>
      </c>
      <c r="E456" t="s">
        <v>1342</v>
      </c>
      <c r="F456" t="s">
        <v>28</v>
      </c>
      <c r="G456">
        <v>0</v>
      </c>
      <c r="H456">
        <v>4.528</v>
      </c>
      <c r="I456">
        <v>4.528</v>
      </c>
      <c r="J456">
        <v>3</v>
      </c>
      <c r="K456">
        <v>2.5</v>
      </c>
      <c r="L456">
        <v>3</v>
      </c>
      <c r="M456">
        <v>2.5</v>
      </c>
      <c r="N456">
        <v>3</v>
      </c>
      <c r="O456">
        <v>1</v>
      </c>
      <c r="P456">
        <v>-0.5093333333333332</v>
      </c>
    </row>
    <row r="457" spans="1:16" x14ac:dyDescent="0.25">
      <c r="A457">
        <v>451</v>
      </c>
      <c r="B457" t="s">
        <v>940</v>
      </c>
      <c r="C457" t="s">
        <v>1343</v>
      </c>
      <c r="D457" t="s">
        <v>255</v>
      </c>
      <c r="E457" t="s">
        <v>1344</v>
      </c>
      <c r="F457" t="s">
        <v>28</v>
      </c>
      <c r="G457">
        <v>0</v>
      </c>
      <c r="H457">
        <v>4.528</v>
      </c>
      <c r="I457">
        <v>4.528</v>
      </c>
      <c r="J457">
        <v>3</v>
      </c>
      <c r="K457">
        <v>2.5</v>
      </c>
      <c r="L457">
        <v>3</v>
      </c>
      <c r="M457">
        <v>2.5</v>
      </c>
      <c r="N457">
        <v>3</v>
      </c>
      <c r="O457">
        <v>1</v>
      </c>
      <c r="P457">
        <v>-0.5093333333333332</v>
      </c>
    </row>
    <row r="458" spans="1:16" x14ac:dyDescent="0.25">
      <c r="A458">
        <v>452</v>
      </c>
      <c r="B458" t="s">
        <v>940</v>
      </c>
      <c r="C458" t="s">
        <v>1345</v>
      </c>
      <c r="D458" t="s">
        <v>255</v>
      </c>
      <c r="E458" t="s">
        <v>1346</v>
      </c>
      <c r="F458" t="s">
        <v>28</v>
      </c>
      <c r="G458">
        <v>0</v>
      </c>
      <c r="H458">
        <v>4.528</v>
      </c>
      <c r="I458">
        <v>4.528</v>
      </c>
      <c r="J458">
        <v>12</v>
      </c>
      <c r="K458">
        <v>9</v>
      </c>
      <c r="L458">
        <v>12</v>
      </c>
      <c r="M458">
        <v>9</v>
      </c>
      <c r="N458">
        <v>12</v>
      </c>
      <c r="O458">
        <v>1</v>
      </c>
      <c r="P458">
        <v>0.6226666666666667</v>
      </c>
    </row>
    <row r="459" spans="1:16" x14ac:dyDescent="0.25">
      <c r="A459">
        <v>453</v>
      </c>
      <c r="B459" t="s">
        <v>940</v>
      </c>
      <c r="C459" t="s">
        <v>1347</v>
      </c>
      <c r="D459" t="s">
        <v>255</v>
      </c>
      <c r="E459" t="s">
        <v>1348</v>
      </c>
      <c r="F459" t="s">
        <v>28</v>
      </c>
      <c r="G459">
        <v>0</v>
      </c>
      <c r="H459">
        <v>4.528</v>
      </c>
      <c r="I459">
        <v>4.528</v>
      </c>
      <c r="J459">
        <v>13</v>
      </c>
      <c r="K459">
        <v>10.5</v>
      </c>
      <c r="L459">
        <v>13</v>
      </c>
      <c r="M459">
        <v>10.5</v>
      </c>
      <c r="N459">
        <v>13</v>
      </c>
      <c r="O459">
        <v>1</v>
      </c>
      <c r="P459">
        <v>0.6516923076923078</v>
      </c>
    </row>
    <row r="460" spans="1:16" x14ac:dyDescent="0.25">
      <c r="A460">
        <v>454</v>
      </c>
      <c r="B460" t="s">
        <v>940</v>
      </c>
      <c r="C460" t="s">
        <v>1349</v>
      </c>
      <c r="D460" t="s">
        <v>255</v>
      </c>
      <c r="E460" t="s">
        <v>1350</v>
      </c>
      <c r="F460" t="s">
        <v>28</v>
      </c>
      <c r="G460">
        <v>0</v>
      </c>
      <c r="H460">
        <v>4.528</v>
      </c>
      <c r="I460">
        <v>4.528</v>
      </c>
      <c r="J460">
        <v>24</v>
      </c>
      <c r="K460">
        <v>19</v>
      </c>
      <c r="L460">
        <v>24</v>
      </c>
      <c r="M460">
        <v>19</v>
      </c>
      <c r="N460">
        <v>24</v>
      </c>
      <c r="O460">
        <v>1</v>
      </c>
      <c r="P460">
        <v>0.8113333333333334</v>
      </c>
    </row>
    <row r="461" spans="1:16" x14ac:dyDescent="0.25">
      <c r="A461">
        <v>455</v>
      </c>
      <c r="B461" t="s">
        <v>940</v>
      </c>
      <c r="C461" t="s">
        <v>1351</v>
      </c>
      <c r="D461" t="s">
        <v>255</v>
      </c>
      <c r="E461" t="s">
        <v>1352</v>
      </c>
      <c r="F461" t="s">
        <v>28</v>
      </c>
      <c r="G461">
        <v>0</v>
      </c>
      <c r="H461">
        <v>4.528</v>
      </c>
      <c r="I461">
        <v>4.528</v>
      </c>
      <c r="J461">
        <v>24</v>
      </c>
      <c r="K461">
        <v>19</v>
      </c>
      <c r="L461">
        <v>24</v>
      </c>
      <c r="M461">
        <v>19</v>
      </c>
      <c r="N461">
        <v>24</v>
      </c>
      <c r="O461">
        <v>1</v>
      </c>
      <c r="P461">
        <v>0.8113333333333334</v>
      </c>
    </row>
    <row r="462" spans="1:16" x14ac:dyDescent="0.25">
      <c r="A462">
        <v>456</v>
      </c>
      <c r="B462" t="s">
        <v>940</v>
      </c>
      <c r="C462" t="s">
        <v>1353</v>
      </c>
      <c r="D462" t="s">
        <v>255</v>
      </c>
      <c r="E462" t="s">
        <v>1354</v>
      </c>
      <c r="F462" t="s">
        <v>28</v>
      </c>
      <c r="G462">
        <v>0</v>
      </c>
      <c r="H462">
        <v>4.528</v>
      </c>
      <c r="I462">
        <v>4.528</v>
      </c>
      <c r="J462">
        <v>24</v>
      </c>
      <c r="K462">
        <v>19</v>
      </c>
      <c r="L462">
        <v>24</v>
      </c>
      <c r="M462">
        <v>19</v>
      </c>
      <c r="N462">
        <v>24</v>
      </c>
      <c r="O462">
        <v>1</v>
      </c>
      <c r="P462">
        <v>0.8113333333333334</v>
      </c>
    </row>
    <row r="463" spans="1:16" x14ac:dyDescent="0.25">
      <c r="A463">
        <v>457</v>
      </c>
      <c r="B463" t="s">
        <v>940</v>
      </c>
      <c r="C463" t="s">
        <v>1355</v>
      </c>
      <c r="D463" t="s">
        <v>255</v>
      </c>
      <c r="E463" t="s">
        <v>1356</v>
      </c>
      <c r="F463" t="s">
        <v>28</v>
      </c>
      <c r="G463">
        <v>0</v>
      </c>
      <c r="H463">
        <v>4.528</v>
      </c>
      <c r="I463">
        <v>4.528</v>
      </c>
      <c r="J463">
        <v>24</v>
      </c>
      <c r="K463">
        <v>19</v>
      </c>
      <c r="L463">
        <v>24</v>
      </c>
      <c r="M463">
        <v>19</v>
      </c>
      <c r="N463">
        <v>24</v>
      </c>
      <c r="O463">
        <v>1</v>
      </c>
      <c r="P463">
        <v>0.8113333333333334</v>
      </c>
    </row>
    <row r="464" spans="1:16" x14ac:dyDescent="0.25">
      <c r="A464">
        <v>458</v>
      </c>
      <c r="B464" t="s">
        <v>940</v>
      </c>
      <c r="C464" t="s">
        <v>1357</v>
      </c>
      <c r="D464" t="s">
        <v>255</v>
      </c>
      <c r="E464" t="s">
        <v>1358</v>
      </c>
      <c r="F464" t="s">
        <v>28</v>
      </c>
      <c r="G464">
        <v>0</v>
      </c>
      <c r="H464">
        <v>4.528</v>
      </c>
      <c r="I464">
        <v>4.528</v>
      </c>
      <c r="J464">
        <v>24</v>
      </c>
      <c r="K464">
        <v>19</v>
      </c>
      <c r="L464">
        <v>24</v>
      </c>
      <c r="M464">
        <v>19</v>
      </c>
      <c r="N464">
        <v>24</v>
      </c>
      <c r="O464">
        <v>1</v>
      </c>
      <c r="P464">
        <v>0.8113333333333334</v>
      </c>
    </row>
    <row r="465" spans="1:16" x14ac:dyDescent="0.25">
      <c r="A465">
        <v>459</v>
      </c>
      <c r="B465" t="s">
        <v>940</v>
      </c>
      <c r="C465" t="s">
        <v>1359</v>
      </c>
      <c r="D465" t="s">
        <v>255</v>
      </c>
      <c r="E465" t="s">
        <v>1360</v>
      </c>
      <c r="F465" t="s">
        <v>28</v>
      </c>
      <c r="G465">
        <v>0</v>
      </c>
      <c r="H465">
        <v>4.528</v>
      </c>
      <c r="I465">
        <v>4.528</v>
      </c>
      <c r="J465">
        <v>4</v>
      </c>
      <c r="K465">
        <v>3</v>
      </c>
      <c r="L465">
        <v>4</v>
      </c>
      <c r="M465">
        <v>3</v>
      </c>
      <c r="N465">
        <v>4</v>
      </c>
      <c r="O465">
        <v>1</v>
      </c>
      <c r="P465">
        <v>-0.1319999999999999</v>
      </c>
    </row>
    <row r="466" spans="1:16" x14ac:dyDescent="0.25">
      <c r="A466">
        <v>460</v>
      </c>
      <c r="B466" t="s">
        <v>940</v>
      </c>
      <c r="C466" t="s">
        <v>1361</v>
      </c>
      <c r="D466" t="s">
        <v>255</v>
      </c>
      <c r="E466" t="s">
        <v>1362</v>
      </c>
      <c r="F466" t="s">
        <v>28</v>
      </c>
      <c r="G466">
        <v>0</v>
      </c>
      <c r="H466">
        <v>4.528</v>
      </c>
      <c r="I466">
        <v>4.528</v>
      </c>
      <c r="J466">
        <v>4</v>
      </c>
      <c r="K466">
        <v>3.5</v>
      </c>
      <c r="L466">
        <v>4</v>
      </c>
      <c r="M466">
        <v>3.5</v>
      </c>
      <c r="N466">
        <v>4</v>
      </c>
      <c r="O466">
        <v>1</v>
      </c>
      <c r="P466">
        <v>-0.1319999999999999</v>
      </c>
    </row>
    <row r="467" spans="1:16" x14ac:dyDescent="0.25">
      <c r="A467">
        <v>461</v>
      </c>
      <c r="B467" t="s">
        <v>940</v>
      </c>
      <c r="C467" t="s">
        <v>1363</v>
      </c>
      <c r="D467" t="s">
        <v>255</v>
      </c>
      <c r="E467" t="s">
        <v>1364</v>
      </c>
      <c r="F467" t="s">
        <v>28</v>
      </c>
      <c r="G467">
        <v>0</v>
      </c>
      <c r="H467">
        <v>4.528</v>
      </c>
      <c r="I467">
        <v>4.528</v>
      </c>
      <c r="J467">
        <v>3</v>
      </c>
      <c r="K467">
        <v>2.5</v>
      </c>
      <c r="L467">
        <v>3</v>
      </c>
      <c r="M467">
        <v>2.5</v>
      </c>
      <c r="N467">
        <v>3</v>
      </c>
      <c r="O467">
        <v>1</v>
      </c>
      <c r="P467">
        <v>-0.5093333333333332</v>
      </c>
    </row>
    <row r="468" spans="1:16" x14ac:dyDescent="0.25">
      <c r="A468">
        <v>462</v>
      </c>
      <c r="B468" t="s">
        <v>940</v>
      </c>
      <c r="C468" t="s">
        <v>1365</v>
      </c>
      <c r="D468" t="s">
        <v>255</v>
      </c>
      <c r="E468" t="s">
        <v>1366</v>
      </c>
      <c r="F468" t="s">
        <v>28</v>
      </c>
      <c r="G468">
        <v>0</v>
      </c>
      <c r="H468">
        <v>4.528</v>
      </c>
      <c r="I468">
        <v>4.528</v>
      </c>
      <c r="J468">
        <v>4</v>
      </c>
      <c r="K468">
        <v>3</v>
      </c>
      <c r="L468">
        <v>4</v>
      </c>
      <c r="M468">
        <v>3</v>
      </c>
      <c r="N468">
        <v>4</v>
      </c>
      <c r="O468">
        <v>1</v>
      </c>
      <c r="P468">
        <v>-0.1319999999999999</v>
      </c>
    </row>
    <row r="469" spans="1:16" x14ac:dyDescent="0.25">
      <c r="A469">
        <v>463</v>
      </c>
      <c r="B469" t="s">
        <v>940</v>
      </c>
      <c r="C469" t="s">
        <v>1367</v>
      </c>
      <c r="D469" t="s">
        <v>255</v>
      </c>
      <c r="E469" t="s">
        <v>1368</v>
      </c>
      <c r="F469" t="s">
        <v>28</v>
      </c>
      <c r="G469">
        <v>0</v>
      </c>
      <c r="H469">
        <v>4.528</v>
      </c>
      <c r="I469">
        <v>4.528</v>
      </c>
      <c r="J469">
        <v>3</v>
      </c>
      <c r="K469">
        <v>2.5</v>
      </c>
      <c r="L469">
        <v>3</v>
      </c>
      <c r="M469">
        <v>2.5</v>
      </c>
      <c r="N469">
        <v>3</v>
      </c>
      <c r="O469">
        <v>1</v>
      </c>
      <c r="P469">
        <v>-0.5093333333333332</v>
      </c>
    </row>
    <row r="470" spans="1:16" x14ac:dyDescent="0.25">
      <c r="A470">
        <v>464</v>
      </c>
      <c r="B470" t="s">
        <v>940</v>
      </c>
      <c r="C470" t="s">
        <v>1369</v>
      </c>
      <c r="D470" t="s">
        <v>255</v>
      </c>
      <c r="E470" t="s">
        <v>1370</v>
      </c>
      <c r="F470" t="s">
        <v>28</v>
      </c>
      <c r="G470">
        <v>0</v>
      </c>
      <c r="H470">
        <v>4.528</v>
      </c>
      <c r="I470">
        <v>4.528</v>
      </c>
      <c r="J470">
        <v>3</v>
      </c>
      <c r="K470">
        <v>3</v>
      </c>
      <c r="L470">
        <v>3</v>
      </c>
      <c r="M470">
        <v>2.4</v>
      </c>
      <c r="N470">
        <v>3</v>
      </c>
      <c r="O470">
        <v>1</v>
      </c>
      <c r="P470">
        <v>-0.5093333333333332</v>
      </c>
    </row>
    <row r="471" spans="1:16" x14ac:dyDescent="0.25">
      <c r="A471">
        <v>465</v>
      </c>
      <c r="B471" t="s">
        <v>940</v>
      </c>
      <c r="C471" t="s">
        <v>1371</v>
      </c>
      <c r="D471" t="s">
        <v>255</v>
      </c>
      <c r="E471" t="s">
        <v>1372</v>
      </c>
      <c r="F471" t="s">
        <v>28</v>
      </c>
      <c r="G471">
        <v>0</v>
      </c>
      <c r="H471">
        <v>4.528</v>
      </c>
      <c r="I471">
        <v>4.528</v>
      </c>
      <c r="J471">
        <v>3</v>
      </c>
      <c r="K471">
        <v>2</v>
      </c>
      <c r="L471">
        <v>3</v>
      </c>
      <c r="M471">
        <v>2</v>
      </c>
      <c r="N471">
        <v>3</v>
      </c>
      <c r="O471">
        <v>1</v>
      </c>
      <c r="P471">
        <v>-0.5093333333333332</v>
      </c>
    </row>
    <row r="472" spans="1:16" x14ac:dyDescent="0.25">
      <c r="A472">
        <v>466</v>
      </c>
      <c r="B472" t="s">
        <v>940</v>
      </c>
      <c r="C472" t="s">
        <v>1373</v>
      </c>
      <c r="D472" t="s">
        <v>255</v>
      </c>
      <c r="E472" t="s">
        <v>1374</v>
      </c>
      <c r="F472" t="s">
        <v>28</v>
      </c>
      <c r="G472">
        <v>0</v>
      </c>
      <c r="H472">
        <v>4.528</v>
      </c>
      <c r="I472">
        <v>4.528</v>
      </c>
      <c r="J472">
        <v>29</v>
      </c>
      <c r="K472">
        <v>27.5</v>
      </c>
      <c r="L472">
        <v>29</v>
      </c>
      <c r="M472">
        <v>27.5</v>
      </c>
      <c r="N472">
        <v>29</v>
      </c>
      <c r="O472">
        <v>1</v>
      </c>
      <c r="P472">
        <v>0.8438620689655173</v>
      </c>
    </row>
    <row r="473" spans="1:16" x14ac:dyDescent="0.25">
      <c r="A473">
        <v>467</v>
      </c>
      <c r="B473" t="s">
        <v>940</v>
      </c>
      <c r="C473" t="s">
        <v>1375</v>
      </c>
      <c r="D473" t="s">
        <v>255</v>
      </c>
      <c r="E473" t="s">
        <v>1376</v>
      </c>
      <c r="F473" t="s">
        <v>28</v>
      </c>
      <c r="G473">
        <v>0</v>
      </c>
      <c r="H473">
        <v>4.528</v>
      </c>
      <c r="I473">
        <v>4.528</v>
      </c>
      <c r="J473">
        <v>37</v>
      </c>
      <c r="K473">
        <v>35</v>
      </c>
      <c r="L473">
        <v>37</v>
      </c>
      <c r="M473">
        <v>35</v>
      </c>
      <c r="N473">
        <v>37</v>
      </c>
      <c r="O473">
        <v>1</v>
      </c>
      <c r="P473">
        <v>0.8776216216216216</v>
      </c>
    </row>
    <row r="474" spans="1:16" x14ac:dyDescent="0.25">
      <c r="A474">
        <v>468</v>
      </c>
      <c r="B474" t="s">
        <v>940</v>
      </c>
      <c r="C474" t="s">
        <v>1377</v>
      </c>
      <c r="D474" t="s">
        <v>255</v>
      </c>
      <c r="E474" t="s">
        <v>1378</v>
      </c>
      <c r="F474" t="s">
        <v>28</v>
      </c>
      <c r="G474">
        <v>0</v>
      </c>
      <c r="H474">
        <v>4.528</v>
      </c>
      <c r="I474">
        <v>4.528</v>
      </c>
      <c r="J474">
        <v>6</v>
      </c>
      <c r="K474">
        <v>3</v>
      </c>
      <c r="L474">
        <v>6</v>
      </c>
      <c r="M474">
        <v>3</v>
      </c>
      <c r="N474">
        <v>6</v>
      </c>
      <c r="O474">
        <v>1</v>
      </c>
      <c r="P474">
        <v>0.2453333333333334</v>
      </c>
    </row>
    <row r="475" spans="1:16" x14ac:dyDescent="0.25">
      <c r="A475">
        <v>469</v>
      </c>
      <c r="B475" t="s">
        <v>940</v>
      </c>
      <c r="C475" t="s">
        <v>1379</v>
      </c>
      <c r="D475" t="s">
        <v>255</v>
      </c>
      <c r="E475" t="s">
        <v>1380</v>
      </c>
      <c r="F475" t="s">
        <v>28</v>
      </c>
      <c r="G475">
        <v>0</v>
      </c>
      <c r="H475">
        <v>4.528</v>
      </c>
      <c r="I475">
        <v>4.528</v>
      </c>
      <c r="J475">
        <v>5</v>
      </c>
      <c r="K475">
        <v>4</v>
      </c>
      <c r="L475">
        <v>5</v>
      </c>
      <c r="M475">
        <v>4</v>
      </c>
      <c r="N475">
        <v>5</v>
      </c>
      <c r="O475">
        <v>1</v>
      </c>
      <c r="P475">
        <v>0.09440000000000008</v>
      </c>
    </row>
    <row r="476" spans="1:16" x14ac:dyDescent="0.25">
      <c r="A476">
        <v>470</v>
      </c>
      <c r="B476" t="s">
        <v>940</v>
      </c>
      <c r="C476" t="s">
        <v>1381</v>
      </c>
      <c r="D476" t="s">
        <v>255</v>
      </c>
      <c r="E476" t="s">
        <v>1382</v>
      </c>
      <c r="F476" t="s">
        <v>28</v>
      </c>
      <c r="G476">
        <v>0</v>
      </c>
      <c r="H476">
        <v>4.528</v>
      </c>
      <c r="I476">
        <v>4.528</v>
      </c>
      <c r="J476">
        <v>5</v>
      </c>
      <c r="K476">
        <v>3.5</v>
      </c>
      <c r="L476">
        <v>5</v>
      </c>
      <c r="M476">
        <v>3.5</v>
      </c>
      <c r="N476">
        <v>5</v>
      </c>
      <c r="O476">
        <v>1</v>
      </c>
      <c r="P476">
        <v>0.09440000000000008</v>
      </c>
    </row>
    <row r="477" spans="1:16" x14ac:dyDescent="0.25">
      <c r="A477">
        <v>471</v>
      </c>
      <c r="B477" t="s">
        <v>940</v>
      </c>
      <c r="C477" t="s">
        <v>1383</v>
      </c>
      <c r="D477" t="s">
        <v>255</v>
      </c>
      <c r="E477" t="s">
        <v>1384</v>
      </c>
      <c r="F477" t="s">
        <v>28</v>
      </c>
      <c r="G477">
        <v>0</v>
      </c>
      <c r="H477">
        <v>4.528</v>
      </c>
      <c r="I477">
        <v>4.528</v>
      </c>
      <c r="J477">
        <v>5</v>
      </c>
      <c r="K477">
        <v>4</v>
      </c>
      <c r="L477">
        <v>5</v>
      </c>
      <c r="M477">
        <v>4</v>
      </c>
      <c r="N477">
        <v>5</v>
      </c>
      <c r="O477">
        <v>1</v>
      </c>
      <c r="P477">
        <v>0.09440000000000008</v>
      </c>
    </row>
    <row r="478" spans="1:16" x14ac:dyDescent="0.25">
      <c r="A478">
        <v>472</v>
      </c>
      <c r="B478" t="s">
        <v>940</v>
      </c>
      <c r="C478" t="s">
        <v>1385</v>
      </c>
      <c r="D478" t="s">
        <v>255</v>
      </c>
      <c r="E478" t="s">
        <v>1386</v>
      </c>
      <c r="F478" t="s">
        <v>28</v>
      </c>
      <c r="G478">
        <v>0</v>
      </c>
      <c r="H478">
        <v>4.528</v>
      </c>
      <c r="I478">
        <v>4.528</v>
      </c>
      <c r="J478">
        <v>5</v>
      </c>
      <c r="K478">
        <v>3.5</v>
      </c>
      <c r="L478">
        <v>5</v>
      </c>
      <c r="M478">
        <v>3.5</v>
      </c>
      <c r="N478">
        <v>5</v>
      </c>
      <c r="O478">
        <v>1</v>
      </c>
      <c r="P478">
        <v>0.09440000000000008</v>
      </c>
    </row>
    <row r="479" spans="1:16" x14ac:dyDescent="0.25">
      <c r="A479">
        <v>473</v>
      </c>
      <c r="B479" t="s">
        <v>940</v>
      </c>
      <c r="C479" t="s">
        <v>1387</v>
      </c>
      <c r="D479" t="s">
        <v>255</v>
      </c>
      <c r="E479" t="s">
        <v>1388</v>
      </c>
      <c r="F479" t="s">
        <v>28</v>
      </c>
      <c r="G479">
        <v>0</v>
      </c>
      <c r="H479">
        <v>4.528</v>
      </c>
      <c r="I479">
        <v>4.528</v>
      </c>
      <c r="J479">
        <v>5</v>
      </c>
      <c r="K479">
        <v>4</v>
      </c>
      <c r="L479">
        <v>5</v>
      </c>
      <c r="M479">
        <v>4</v>
      </c>
      <c r="N479">
        <v>5</v>
      </c>
      <c r="O479">
        <v>1</v>
      </c>
      <c r="P479">
        <v>0.09440000000000008</v>
      </c>
    </row>
    <row r="480" spans="1:16" x14ac:dyDescent="0.25">
      <c r="A480">
        <v>474</v>
      </c>
      <c r="B480" t="s">
        <v>940</v>
      </c>
      <c r="C480" t="s">
        <v>1389</v>
      </c>
      <c r="D480" t="s">
        <v>255</v>
      </c>
      <c r="E480" t="s">
        <v>1390</v>
      </c>
      <c r="F480" t="s">
        <v>28</v>
      </c>
      <c r="G480">
        <v>0</v>
      </c>
      <c r="H480">
        <v>4.528</v>
      </c>
      <c r="I480">
        <v>4.528</v>
      </c>
      <c r="J480">
        <v>189</v>
      </c>
      <c r="K480">
        <v>113.5</v>
      </c>
      <c r="L480">
        <v>189</v>
      </c>
      <c r="M480">
        <v>113.5</v>
      </c>
      <c r="N480">
        <v>189</v>
      </c>
      <c r="O480">
        <v>1</v>
      </c>
      <c r="P480">
        <v>0.976042328042328</v>
      </c>
    </row>
    <row r="481" spans="1:16" x14ac:dyDescent="0.25">
      <c r="A481">
        <v>475</v>
      </c>
      <c r="B481" t="s">
        <v>940</v>
      </c>
      <c r="C481" t="s">
        <v>1391</v>
      </c>
      <c r="D481" t="s">
        <v>255</v>
      </c>
      <c r="E481" t="s">
        <v>1392</v>
      </c>
      <c r="F481" t="s">
        <v>28</v>
      </c>
      <c r="G481">
        <v>0</v>
      </c>
      <c r="H481">
        <v>4.528</v>
      </c>
      <c r="I481">
        <v>4.528</v>
      </c>
      <c r="J481">
        <v>5</v>
      </c>
      <c r="K481">
        <v>4</v>
      </c>
      <c r="L481">
        <v>5</v>
      </c>
      <c r="M481">
        <v>4</v>
      </c>
      <c r="N481">
        <v>5</v>
      </c>
      <c r="O481">
        <v>1</v>
      </c>
      <c r="P481">
        <v>0.09440000000000008</v>
      </c>
    </row>
    <row r="482" spans="1:16" x14ac:dyDescent="0.25">
      <c r="A482">
        <v>476</v>
      </c>
      <c r="B482" t="s">
        <v>940</v>
      </c>
      <c r="C482" t="s">
        <v>1393</v>
      </c>
      <c r="D482" t="s">
        <v>255</v>
      </c>
      <c r="E482" t="s">
        <v>1394</v>
      </c>
      <c r="F482" t="s">
        <v>28</v>
      </c>
      <c r="G482">
        <v>0</v>
      </c>
      <c r="H482">
        <v>4.528</v>
      </c>
      <c r="I482">
        <v>4.528</v>
      </c>
      <c r="J482">
        <v>3</v>
      </c>
      <c r="K482">
        <v>3</v>
      </c>
      <c r="L482">
        <v>3</v>
      </c>
      <c r="M482">
        <v>2.4</v>
      </c>
      <c r="N482">
        <v>3</v>
      </c>
      <c r="O482">
        <v>1</v>
      </c>
      <c r="P482">
        <v>-0.5093333333333332</v>
      </c>
    </row>
    <row r="483" spans="1:16" x14ac:dyDescent="0.25">
      <c r="A483">
        <v>477</v>
      </c>
      <c r="B483" t="s">
        <v>940</v>
      </c>
      <c r="C483" t="s">
        <v>1395</v>
      </c>
      <c r="D483" t="s">
        <v>255</v>
      </c>
      <c r="E483" t="s">
        <v>1396</v>
      </c>
      <c r="F483" t="s">
        <v>28</v>
      </c>
      <c r="G483">
        <v>0.120385</v>
      </c>
      <c r="H483">
        <v>4.528</v>
      </c>
      <c r="I483">
        <v>4.6484</v>
      </c>
      <c r="J483">
        <v>3</v>
      </c>
      <c r="K483">
        <v>2.5</v>
      </c>
      <c r="L483">
        <v>3</v>
      </c>
      <c r="M483">
        <v>2.5</v>
      </c>
      <c r="N483">
        <v>2.8796</v>
      </c>
      <c r="O483">
        <v>0.9599</v>
      </c>
      <c r="P483">
        <v>-0.5495</v>
      </c>
    </row>
    <row r="484" spans="1:16" x14ac:dyDescent="0.25">
      <c r="A484">
        <v>478</v>
      </c>
      <c r="B484" t="s">
        <v>940</v>
      </c>
      <c r="C484" t="s">
        <v>1397</v>
      </c>
      <c r="D484" t="s">
        <v>255</v>
      </c>
      <c r="E484" t="s">
        <v>1398</v>
      </c>
      <c r="F484" t="s">
        <v>28</v>
      </c>
      <c r="G484">
        <v>0</v>
      </c>
      <c r="H484">
        <v>4.528</v>
      </c>
      <c r="I484">
        <v>4.528</v>
      </c>
      <c r="J484">
        <v>6</v>
      </c>
      <c r="K484">
        <v>3</v>
      </c>
      <c r="L484">
        <v>6</v>
      </c>
      <c r="M484">
        <v>3</v>
      </c>
      <c r="N484">
        <v>6</v>
      </c>
      <c r="O484">
        <v>1</v>
      </c>
      <c r="P484">
        <v>0.2453333333333334</v>
      </c>
    </row>
    <row r="485" spans="1:16" x14ac:dyDescent="0.25">
      <c r="A485">
        <v>479</v>
      </c>
      <c r="B485" t="s">
        <v>940</v>
      </c>
      <c r="C485" t="s">
        <v>1399</v>
      </c>
      <c r="D485" t="s">
        <v>255</v>
      </c>
      <c r="E485" t="s">
        <v>1400</v>
      </c>
      <c r="F485" t="s">
        <v>28</v>
      </c>
      <c r="G485">
        <v>0</v>
      </c>
      <c r="H485">
        <v>4.528</v>
      </c>
      <c r="I485">
        <v>4.528</v>
      </c>
      <c r="J485">
        <v>4</v>
      </c>
      <c r="K485">
        <v>2.5</v>
      </c>
      <c r="L485">
        <v>4</v>
      </c>
      <c r="M485">
        <v>2.5</v>
      </c>
      <c r="N485">
        <v>4</v>
      </c>
      <c r="O485">
        <v>1</v>
      </c>
      <c r="P485">
        <v>-0.1319999999999999</v>
      </c>
    </row>
    <row r="486" spans="1:16" x14ac:dyDescent="0.25">
      <c r="A486">
        <v>480</v>
      </c>
      <c r="B486" t="s">
        <v>940</v>
      </c>
      <c r="C486" t="s">
        <v>1401</v>
      </c>
      <c r="D486" t="s">
        <v>255</v>
      </c>
      <c r="E486" t="s">
        <v>1402</v>
      </c>
      <c r="F486" t="s">
        <v>28</v>
      </c>
      <c r="G486">
        <v>0</v>
      </c>
      <c r="H486">
        <v>4.528</v>
      </c>
      <c r="I486">
        <v>4.528</v>
      </c>
      <c r="J486">
        <v>3</v>
      </c>
      <c r="K486">
        <v>2.5</v>
      </c>
      <c r="L486">
        <v>3</v>
      </c>
      <c r="M486">
        <v>2.5</v>
      </c>
      <c r="N486">
        <v>3</v>
      </c>
      <c r="O486">
        <v>1</v>
      </c>
      <c r="P486">
        <v>-0.5093333333333332</v>
      </c>
    </row>
    <row r="487" spans="1:16" x14ac:dyDescent="0.25">
      <c r="A487">
        <v>481</v>
      </c>
      <c r="B487" t="s">
        <v>940</v>
      </c>
      <c r="C487" t="s">
        <v>1403</v>
      </c>
      <c r="D487" t="s">
        <v>255</v>
      </c>
      <c r="E487" t="s">
        <v>1404</v>
      </c>
      <c r="F487" t="s">
        <v>28</v>
      </c>
      <c r="G487">
        <v>0</v>
      </c>
      <c r="H487">
        <v>4.528</v>
      </c>
      <c r="I487">
        <v>4.528</v>
      </c>
      <c r="J487">
        <v>32</v>
      </c>
      <c r="K487">
        <v>30.5</v>
      </c>
      <c r="L487">
        <v>32</v>
      </c>
      <c r="M487">
        <v>30.5</v>
      </c>
      <c r="N487">
        <v>32</v>
      </c>
      <c r="O487">
        <v>1</v>
      </c>
      <c r="P487">
        <v>0.8585</v>
      </c>
    </row>
    <row r="488" spans="1:16" x14ac:dyDescent="0.25">
      <c r="A488">
        <v>482</v>
      </c>
      <c r="B488" t="s">
        <v>940</v>
      </c>
      <c r="C488" t="s">
        <v>1405</v>
      </c>
      <c r="D488" t="s">
        <v>255</v>
      </c>
      <c r="E488" t="s">
        <v>1406</v>
      </c>
      <c r="F488" t="s">
        <v>28</v>
      </c>
      <c r="G488">
        <v>0</v>
      </c>
      <c r="H488">
        <v>4.528</v>
      </c>
      <c r="I488">
        <v>4.528</v>
      </c>
      <c r="J488">
        <v>42</v>
      </c>
      <c r="K488">
        <v>40</v>
      </c>
      <c r="L488">
        <v>42</v>
      </c>
      <c r="M488">
        <v>40</v>
      </c>
      <c r="N488">
        <v>42</v>
      </c>
      <c r="O488">
        <v>1</v>
      </c>
      <c r="P488">
        <v>0.8921904761904762</v>
      </c>
    </row>
    <row r="489" spans="1:16" x14ac:dyDescent="0.25">
      <c r="A489">
        <v>483</v>
      </c>
      <c r="B489" t="s">
        <v>940</v>
      </c>
      <c r="C489" t="s">
        <v>1407</v>
      </c>
      <c r="D489" t="s">
        <v>255</v>
      </c>
      <c r="E489" t="s">
        <v>1408</v>
      </c>
      <c r="F489" t="s">
        <v>28</v>
      </c>
      <c r="G489">
        <v>0</v>
      </c>
      <c r="H489">
        <v>4.528</v>
      </c>
      <c r="I489">
        <v>4.528</v>
      </c>
      <c r="J489">
        <v>13</v>
      </c>
      <c r="K489">
        <v>10.5</v>
      </c>
      <c r="L489">
        <v>13</v>
      </c>
      <c r="M489">
        <v>10.5</v>
      </c>
      <c r="N489">
        <v>13</v>
      </c>
      <c r="O489">
        <v>1</v>
      </c>
      <c r="P489">
        <v>0.6516923076923078</v>
      </c>
    </row>
    <row r="490" spans="1:16" x14ac:dyDescent="0.25">
      <c r="A490">
        <v>484</v>
      </c>
      <c r="B490" t="s">
        <v>940</v>
      </c>
      <c r="C490" t="s">
        <v>1409</v>
      </c>
      <c r="D490" t="s">
        <v>255</v>
      </c>
      <c r="E490" t="s">
        <v>1410</v>
      </c>
      <c r="F490" t="s">
        <v>28</v>
      </c>
      <c r="G490">
        <v>0</v>
      </c>
      <c r="H490">
        <v>4.528</v>
      </c>
      <c r="I490">
        <v>4.528</v>
      </c>
      <c r="J490">
        <v>105</v>
      </c>
      <c r="K490">
        <v>0</v>
      </c>
      <c r="L490">
        <v>105</v>
      </c>
      <c r="M490">
        <v>84</v>
      </c>
      <c r="N490">
        <v>105</v>
      </c>
      <c r="O490">
        <v>1</v>
      </c>
      <c r="P490">
        <v>0.9568761904761904</v>
      </c>
    </row>
    <row r="491" spans="1:16" x14ac:dyDescent="0.25">
      <c r="A491">
        <v>485</v>
      </c>
      <c r="B491" t="s">
        <v>940</v>
      </c>
      <c r="C491" t="s">
        <v>1411</v>
      </c>
      <c r="D491" t="s">
        <v>255</v>
      </c>
      <c r="E491" t="s">
        <v>1412</v>
      </c>
      <c r="F491" t="s">
        <v>28</v>
      </c>
      <c r="G491">
        <v>0</v>
      </c>
      <c r="H491">
        <v>4.528</v>
      </c>
      <c r="I491">
        <v>4.528</v>
      </c>
      <c r="J491">
        <v>85</v>
      </c>
      <c r="K491">
        <v>0</v>
      </c>
      <c r="L491">
        <v>85</v>
      </c>
      <c r="M491">
        <v>68</v>
      </c>
      <c r="N491">
        <v>85</v>
      </c>
      <c r="O491">
        <v>1</v>
      </c>
      <c r="P491">
        <v>0.9467294117647058</v>
      </c>
    </row>
    <row r="492" spans="1:16" x14ac:dyDescent="0.25">
      <c r="A492">
        <v>486</v>
      </c>
      <c r="B492" t="s">
        <v>940</v>
      </c>
      <c r="C492" t="s">
        <v>1413</v>
      </c>
      <c r="D492" t="s">
        <v>255</v>
      </c>
      <c r="E492" t="s">
        <v>1414</v>
      </c>
      <c r="F492" t="s">
        <v>28</v>
      </c>
      <c r="G492">
        <v>0</v>
      </c>
      <c r="H492">
        <v>4.528</v>
      </c>
      <c r="I492">
        <v>4.528</v>
      </c>
      <c r="J492">
        <v>16</v>
      </c>
      <c r="K492">
        <v>11</v>
      </c>
      <c r="L492">
        <v>16</v>
      </c>
      <c r="M492">
        <v>11</v>
      </c>
      <c r="N492">
        <v>16</v>
      </c>
      <c r="O492">
        <v>1</v>
      </c>
      <c r="P492">
        <v>0.7170000000000001</v>
      </c>
    </row>
    <row r="493" spans="1:16" x14ac:dyDescent="0.25">
      <c r="A493">
        <v>487</v>
      </c>
      <c r="B493" t="s">
        <v>940</v>
      </c>
      <c r="C493" t="s">
        <v>1415</v>
      </c>
      <c r="D493" t="s">
        <v>255</v>
      </c>
      <c r="E493" t="s">
        <v>1416</v>
      </c>
      <c r="F493" t="s">
        <v>28</v>
      </c>
      <c r="G493">
        <v>0</v>
      </c>
      <c r="H493">
        <v>4.528</v>
      </c>
      <c r="I493">
        <v>4.528</v>
      </c>
      <c r="J493">
        <v>26</v>
      </c>
      <c r="K493">
        <v>18</v>
      </c>
      <c r="L493">
        <v>26</v>
      </c>
      <c r="M493">
        <v>18</v>
      </c>
      <c r="N493">
        <v>26</v>
      </c>
      <c r="O493">
        <v>1</v>
      </c>
      <c r="P493">
        <v>0.8258461538461539</v>
      </c>
    </row>
    <row r="494" spans="1:16" x14ac:dyDescent="0.25">
      <c r="A494">
        <v>488</v>
      </c>
      <c r="B494" t="s">
        <v>940</v>
      </c>
      <c r="C494" t="s">
        <v>1417</v>
      </c>
      <c r="D494" t="s">
        <v>255</v>
      </c>
      <c r="E494" t="s">
        <v>1418</v>
      </c>
      <c r="F494" t="s">
        <v>28</v>
      </c>
      <c r="G494">
        <v>0</v>
      </c>
      <c r="H494">
        <v>4.528</v>
      </c>
      <c r="I494">
        <v>4.528</v>
      </c>
      <c r="J494">
        <v>27</v>
      </c>
      <c r="K494">
        <v>23</v>
      </c>
      <c r="L494">
        <v>27</v>
      </c>
      <c r="M494">
        <v>23</v>
      </c>
      <c r="N494">
        <v>27</v>
      </c>
      <c r="O494">
        <v>1</v>
      </c>
      <c r="P494">
        <v>0.8322962962962963</v>
      </c>
    </row>
    <row r="495" spans="1:16" x14ac:dyDescent="0.25">
      <c r="A495">
        <v>489</v>
      </c>
      <c r="B495" t="s">
        <v>940</v>
      </c>
      <c r="C495" t="s">
        <v>1419</v>
      </c>
      <c r="D495" t="s">
        <v>255</v>
      </c>
      <c r="E495" t="s">
        <v>1420</v>
      </c>
      <c r="F495" t="s">
        <v>28</v>
      </c>
      <c r="G495">
        <v>0</v>
      </c>
      <c r="H495">
        <v>4.528</v>
      </c>
      <c r="I495">
        <v>4.528</v>
      </c>
      <c r="J495">
        <v>8</v>
      </c>
      <c r="K495">
        <v>6</v>
      </c>
      <c r="L495">
        <v>8</v>
      </c>
      <c r="M495">
        <v>6</v>
      </c>
      <c r="N495">
        <v>8</v>
      </c>
      <c r="O495">
        <v>1</v>
      </c>
      <c r="P495">
        <v>0.43400000000000005</v>
      </c>
    </row>
    <row r="496" spans="1:16" x14ac:dyDescent="0.25">
      <c r="A496">
        <v>490</v>
      </c>
      <c r="B496" t="s">
        <v>940</v>
      </c>
      <c r="C496" t="s">
        <v>1421</v>
      </c>
      <c r="D496" t="s">
        <v>255</v>
      </c>
      <c r="E496" t="s">
        <v>1422</v>
      </c>
      <c r="F496" t="s">
        <v>28</v>
      </c>
      <c r="G496">
        <v>0</v>
      </c>
      <c r="H496">
        <v>4.528</v>
      </c>
      <c r="I496">
        <v>4.528</v>
      </c>
      <c r="J496">
        <v>4.5</v>
      </c>
      <c r="K496">
        <v>4.5</v>
      </c>
      <c r="L496">
        <v>4.5</v>
      </c>
      <c r="M496">
        <v>3.6</v>
      </c>
      <c r="N496">
        <v>4.5</v>
      </c>
      <c r="O496">
        <v>1</v>
      </c>
      <c r="P496">
        <v>-0.006222222222222129</v>
      </c>
    </row>
    <row r="497" spans="1:16" x14ac:dyDescent="0.25">
      <c r="A497">
        <v>491</v>
      </c>
      <c r="B497" t="s">
        <v>940</v>
      </c>
      <c r="C497" t="s">
        <v>1423</v>
      </c>
      <c r="D497" t="s">
        <v>255</v>
      </c>
      <c r="E497" t="s">
        <v>1424</v>
      </c>
      <c r="F497" t="s">
        <v>28</v>
      </c>
      <c r="G497">
        <v>0</v>
      </c>
      <c r="H497">
        <v>4.528</v>
      </c>
      <c r="I497">
        <v>4.528</v>
      </c>
      <c r="J497">
        <v>120</v>
      </c>
      <c r="K497">
        <v>120</v>
      </c>
      <c r="L497">
        <v>120</v>
      </c>
      <c r="M497">
        <v>96</v>
      </c>
      <c r="N497">
        <v>120</v>
      </c>
      <c r="O497">
        <v>1</v>
      </c>
      <c r="P497">
        <v>0.9622666666666666</v>
      </c>
    </row>
    <row r="498" spans="1:16" x14ac:dyDescent="0.25">
      <c r="A498">
        <v>492</v>
      </c>
      <c r="B498" t="s">
        <v>940</v>
      </c>
      <c r="C498" t="s">
        <v>1425</v>
      </c>
      <c r="D498" t="s">
        <v>255</v>
      </c>
      <c r="E498" t="s">
        <v>1426</v>
      </c>
      <c r="F498" t="s">
        <v>28</v>
      </c>
      <c r="G498">
        <v>0</v>
      </c>
      <c r="H498">
        <v>4.528</v>
      </c>
      <c r="I498">
        <v>4.528</v>
      </c>
      <c r="J498">
        <v>25</v>
      </c>
      <c r="K498">
        <v>25</v>
      </c>
      <c r="L498">
        <v>25</v>
      </c>
      <c r="M498">
        <v>20</v>
      </c>
      <c r="N498">
        <v>25</v>
      </c>
      <c r="O498">
        <v>1</v>
      </c>
      <c r="P498">
        <v>0.81888</v>
      </c>
    </row>
    <row r="499" spans="1:16" x14ac:dyDescent="0.25">
      <c r="A499">
        <v>493</v>
      </c>
      <c r="B499" t="s">
        <v>940</v>
      </c>
      <c r="C499" t="s">
        <v>1427</v>
      </c>
      <c r="D499" t="s">
        <v>255</v>
      </c>
      <c r="E499" t="s">
        <v>1428</v>
      </c>
      <c r="F499" t="s">
        <v>28</v>
      </c>
      <c r="G499">
        <v>0</v>
      </c>
      <c r="H499">
        <v>4.528</v>
      </c>
      <c r="I499">
        <v>4.528</v>
      </c>
      <c r="J499">
        <v>12</v>
      </c>
      <c r="K499">
        <v>12</v>
      </c>
      <c r="L499">
        <v>12</v>
      </c>
      <c r="M499">
        <v>9.6</v>
      </c>
      <c r="N499">
        <v>12</v>
      </c>
      <c r="O499">
        <v>1</v>
      </c>
      <c r="P499">
        <v>0.6226666666666667</v>
      </c>
    </row>
    <row r="500" spans="1:16" x14ac:dyDescent="0.25">
      <c r="A500">
        <v>494</v>
      </c>
      <c r="B500" t="s">
        <v>940</v>
      </c>
      <c r="C500" t="s">
        <v>1429</v>
      </c>
      <c r="D500" t="s">
        <v>255</v>
      </c>
      <c r="E500" t="s">
        <v>1430</v>
      </c>
      <c r="F500" t="s">
        <v>28</v>
      </c>
      <c r="G500">
        <v>0</v>
      </c>
      <c r="H500">
        <v>4.528</v>
      </c>
      <c r="I500">
        <v>4.528</v>
      </c>
      <c r="J500">
        <v>18</v>
      </c>
      <c r="K500">
        <v>18</v>
      </c>
      <c r="L500">
        <v>18</v>
      </c>
      <c r="M500">
        <v>14.4</v>
      </c>
      <c r="N500">
        <v>18</v>
      </c>
      <c r="O500">
        <v>1</v>
      </c>
      <c r="P500">
        <v>0.7484444444444445</v>
      </c>
    </row>
    <row r="501" spans="1:16" x14ac:dyDescent="0.25">
      <c r="A501">
        <v>495</v>
      </c>
      <c r="B501" t="s">
        <v>940</v>
      </c>
      <c r="C501" t="s">
        <v>1431</v>
      </c>
      <c r="D501" t="s">
        <v>255</v>
      </c>
      <c r="E501" t="s">
        <v>1432</v>
      </c>
      <c r="F501" t="s">
        <v>28</v>
      </c>
      <c r="G501">
        <v>0</v>
      </c>
      <c r="H501">
        <v>4.528</v>
      </c>
      <c r="I501">
        <v>4.528</v>
      </c>
      <c r="J501">
        <v>18</v>
      </c>
      <c r="K501">
        <v>18</v>
      </c>
      <c r="L501">
        <v>18</v>
      </c>
      <c r="M501">
        <v>14.4</v>
      </c>
      <c r="N501">
        <v>18</v>
      </c>
      <c r="O501">
        <v>1</v>
      </c>
      <c r="P501">
        <v>0.7484444444444445</v>
      </c>
    </row>
    <row r="502" spans="1:16" x14ac:dyDescent="0.25">
      <c r="A502">
        <v>496</v>
      </c>
      <c r="B502" t="s">
        <v>940</v>
      </c>
      <c r="C502" t="s">
        <v>1433</v>
      </c>
      <c r="D502" t="s">
        <v>255</v>
      </c>
      <c r="E502" t="s">
        <v>1434</v>
      </c>
      <c r="F502" t="s">
        <v>28</v>
      </c>
      <c r="G502">
        <v>0</v>
      </c>
      <c r="H502">
        <v>4.528</v>
      </c>
      <c r="I502">
        <v>4.528</v>
      </c>
      <c r="J502">
        <v>30</v>
      </c>
      <c r="K502">
        <v>30</v>
      </c>
      <c r="L502">
        <v>30</v>
      </c>
      <c r="M502">
        <v>24</v>
      </c>
      <c r="N502">
        <v>30</v>
      </c>
      <c r="O502">
        <v>1</v>
      </c>
      <c r="P502">
        <v>0.8490666666666667</v>
      </c>
    </row>
    <row r="503" spans="1:16" x14ac:dyDescent="0.25">
      <c r="A503">
        <v>497</v>
      </c>
      <c r="B503" t="s">
        <v>940</v>
      </c>
      <c r="C503" t="s">
        <v>1435</v>
      </c>
      <c r="D503" t="s">
        <v>255</v>
      </c>
      <c r="E503" t="s">
        <v>1436</v>
      </c>
      <c r="F503" t="s">
        <v>28</v>
      </c>
      <c r="G503">
        <v>0</v>
      </c>
      <c r="H503">
        <v>4.528</v>
      </c>
      <c r="I503">
        <v>4.528</v>
      </c>
      <c r="J503">
        <v>139</v>
      </c>
      <c r="K503">
        <v>132</v>
      </c>
      <c r="L503">
        <v>139</v>
      </c>
      <c r="M503">
        <v>132</v>
      </c>
      <c r="N503">
        <v>139</v>
      </c>
      <c r="O503">
        <v>1</v>
      </c>
      <c r="P503">
        <v>0.9674244604316548</v>
      </c>
    </row>
    <row r="504" spans="1:16" x14ac:dyDescent="0.25">
      <c r="A504">
        <v>498</v>
      </c>
      <c r="B504" t="s">
        <v>940</v>
      </c>
      <c r="C504" t="s">
        <v>1437</v>
      </c>
      <c r="D504" t="s">
        <v>255</v>
      </c>
      <c r="E504" t="s">
        <v>1438</v>
      </c>
      <c r="F504" t="s">
        <v>28</v>
      </c>
      <c r="G504">
        <v>0</v>
      </c>
      <c r="H504">
        <v>4.528</v>
      </c>
      <c r="I504">
        <v>4.528</v>
      </c>
      <c r="J504">
        <v>171</v>
      </c>
      <c r="K504">
        <v>154</v>
      </c>
      <c r="L504">
        <v>171</v>
      </c>
      <c r="M504">
        <v>154</v>
      </c>
      <c r="N504">
        <v>171</v>
      </c>
      <c r="O504">
        <v>1</v>
      </c>
      <c r="P504">
        <v>0.9735204678362573</v>
      </c>
    </row>
    <row r="505" spans="1:16" x14ac:dyDescent="0.25">
      <c r="A505">
        <v>499</v>
      </c>
      <c r="B505" t="s">
        <v>940</v>
      </c>
      <c r="C505" t="s">
        <v>1439</v>
      </c>
      <c r="D505" t="s">
        <v>255</v>
      </c>
      <c r="E505" t="s">
        <v>1440</v>
      </c>
      <c r="F505" t="s">
        <v>28</v>
      </c>
      <c r="G505">
        <v>0</v>
      </c>
      <c r="H505">
        <v>4.528</v>
      </c>
      <c r="I505">
        <v>4.528</v>
      </c>
      <c r="J505">
        <v>36</v>
      </c>
      <c r="K505">
        <v>34</v>
      </c>
      <c r="L505">
        <v>36</v>
      </c>
      <c r="M505">
        <v>34</v>
      </c>
      <c r="N505">
        <v>36</v>
      </c>
      <c r="O505">
        <v>1</v>
      </c>
      <c r="P505">
        <v>0.8742222222222222</v>
      </c>
    </row>
    <row r="506" spans="1:16" x14ac:dyDescent="0.25">
      <c r="A506">
        <v>500</v>
      </c>
      <c r="B506" t="s">
        <v>940</v>
      </c>
      <c r="C506" t="s">
        <v>1441</v>
      </c>
      <c r="D506" t="s">
        <v>255</v>
      </c>
      <c r="E506" t="s">
        <v>1442</v>
      </c>
      <c r="F506" t="s">
        <v>28</v>
      </c>
      <c r="G506">
        <v>0</v>
      </c>
      <c r="H506">
        <v>4.528</v>
      </c>
      <c r="I506">
        <v>4.528</v>
      </c>
      <c r="J506">
        <v>30</v>
      </c>
      <c r="K506">
        <v>28.5</v>
      </c>
      <c r="L506">
        <v>30</v>
      </c>
      <c r="M506">
        <v>28.5</v>
      </c>
      <c r="N506">
        <v>30</v>
      </c>
      <c r="O506">
        <v>1</v>
      </c>
      <c r="P506">
        <v>0.8490666666666667</v>
      </c>
    </row>
    <row r="507" spans="1:16" x14ac:dyDescent="0.25">
      <c r="A507">
        <v>501</v>
      </c>
      <c r="B507" t="s">
        <v>940</v>
      </c>
      <c r="C507" t="s">
        <v>1443</v>
      </c>
      <c r="D507" t="s">
        <v>255</v>
      </c>
      <c r="E507" t="s">
        <v>1444</v>
      </c>
      <c r="F507" t="s">
        <v>28</v>
      </c>
      <c r="G507">
        <v>0</v>
      </c>
      <c r="H507">
        <v>4.528</v>
      </c>
      <c r="I507">
        <v>4.528</v>
      </c>
      <c r="J507">
        <v>12</v>
      </c>
      <c r="K507">
        <v>9</v>
      </c>
      <c r="L507">
        <v>12</v>
      </c>
      <c r="M507">
        <v>9</v>
      </c>
      <c r="N507">
        <v>12</v>
      </c>
      <c r="O507">
        <v>1</v>
      </c>
      <c r="P507">
        <v>0.6226666666666667</v>
      </c>
    </row>
    <row r="508" spans="1:16" x14ac:dyDescent="0.25">
      <c r="A508">
        <v>502</v>
      </c>
      <c r="B508" t="s">
        <v>940</v>
      </c>
      <c r="C508" t="s">
        <v>1445</v>
      </c>
      <c r="D508" t="s">
        <v>255</v>
      </c>
      <c r="E508" t="s">
        <v>1446</v>
      </c>
      <c r="F508" t="s">
        <v>28</v>
      </c>
      <c r="G508">
        <v>0</v>
      </c>
      <c r="H508">
        <v>4.528</v>
      </c>
      <c r="I508">
        <v>4.528</v>
      </c>
      <c r="J508">
        <v>96</v>
      </c>
      <c r="K508">
        <v>91</v>
      </c>
      <c r="L508">
        <v>96</v>
      </c>
      <c r="M508">
        <v>91</v>
      </c>
      <c r="N508">
        <v>96</v>
      </c>
      <c r="O508">
        <v>1</v>
      </c>
      <c r="P508">
        <v>0.9528333333333333</v>
      </c>
    </row>
    <row r="509" spans="1:16" x14ac:dyDescent="0.25">
      <c r="A509">
        <v>503</v>
      </c>
      <c r="B509" t="s">
        <v>940</v>
      </c>
      <c r="C509" t="s">
        <v>1447</v>
      </c>
      <c r="D509" t="s">
        <v>255</v>
      </c>
      <c r="E509" t="s">
        <v>1448</v>
      </c>
      <c r="F509" t="s">
        <v>28</v>
      </c>
      <c r="G509">
        <v>0</v>
      </c>
      <c r="H509">
        <v>4.528</v>
      </c>
      <c r="I509">
        <v>4.528</v>
      </c>
      <c r="J509">
        <v>14</v>
      </c>
      <c r="K509">
        <v>10</v>
      </c>
      <c r="L509">
        <v>14</v>
      </c>
      <c r="M509">
        <v>10</v>
      </c>
      <c r="N509">
        <v>14</v>
      </c>
      <c r="O509">
        <v>1</v>
      </c>
      <c r="P509">
        <v>0.6765714285714287</v>
      </c>
    </row>
    <row r="510" spans="1:16" x14ac:dyDescent="0.25">
      <c r="A510">
        <v>504</v>
      </c>
      <c r="B510" t="s">
        <v>940</v>
      </c>
      <c r="C510" t="s">
        <v>1449</v>
      </c>
      <c r="D510" t="s">
        <v>255</v>
      </c>
      <c r="E510" t="s">
        <v>1450</v>
      </c>
      <c r="F510" t="s">
        <v>28</v>
      </c>
      <c r="G510">
        <v>0</v>
      </c>
      <c r="H510">
        <v>4.528</v>
      </c>
      <c r="I510">
        <v>4.528</v>
      </c>
      <c r="J510">
        <v>15</v>
      </c>
      <c r="K510">
        <v>13</v>
      </c>
      <c r="L510">
        <v>15</v>
      </c>
      <c r="M510">
        <v>13</v>
      </c>
      <c r="N510">
        <v>15</v>
      </c>
      <c r="O510">
        <v>1</v>
      </c>
      <c r="P510">
        <v>0.6981333333333334</v>
      </c>
    </row>
    <row r="511" spans="1:16" x14ac:dyDescent="0.25">
      <c r="A511">
        <v>505</v>
      </c>
      <c r="B511" t="s">
        <v>940</v>
      </c>
      <c r="C511" t="s">
        <v>1451</v>
      </c>
      <c r="D511" t="s">
        <v>255</v>
      </c>
      <c r="E511" t="s">
        <v>1452</v>
      </c>
      <c r="F511" t="s">
        <v>28</v>
      </c>
      <c r="G511">
        <v>0</v>
      </c>
      <c r="H511">
        <v>4.528</v>
      </c>
      <c r="I511">
        <v>4.528</v>
      </c>
      <c r="J511">
        <v>31</v>
      </c>
      <c r="K511">
        <v>23.5</v>
      </c>
      <c r="L511">
        <v>31</v>
      </c>
      <c r="M511">
        <v>23.5</v>
      </c>
      <c r="N511">
        <v>31</v>
      </c>
      <c r="O511">
        <v>1</v>
      </c>
      <c r="P511">
        <v>0.8539354838709677</v>
      </c>
    </row>
    <row r="512" spans="1:16" x14ac:dyDescent="0.25">
      <c r="A512">
        <v>506</v>
      </c>
      <c r="B512" t="s">
        <v>940</v>
      </c>
      <c r="C512" t="s">
        <v>1453</v>
      </c>
      <c r="D512" t="s">
        <v>255</v>
      </c>
      <c r="E512" t="s">
        <v>1454</v>
      </c>
      <c r="F512" t="s">
        <v>28</v>
      </c>
      <c r="G512">
        <v>0</v>
      </c>
      <c r="H512">
        <v>4.528</v>
      </c>
      <c r="I512">
        <v>4.528</v>
      </c>
      <c r="J512">
        <v>19</v>
      </c>
      <c r="K512">
        <v>14.5</v>
      </c>
      <c r="L512">
        <v>19</v>
      </c>
      <c r="M512">
        <v>14.5</v>
      </c>
      <c r="N512">
        <v>19</v>
      </c>
      <c r="O512">
        <v>1</v>
      </c>
      <c r="P512">
        <v>0.7616842105263159</v>
      </c>
    </row>
    <row r="513" spans="1:16" x14ac:dyDescent="0.25">
      <c r="A513">
        <v>507</v>
      </c>
      <c r="B513" t="s">
        <v>940</v>
      </c>
      <c r="C513" t="s">
        <v>1455</v>
      </c>
      <c r="D513" t="s">
        <v>255</v>
      </c>
      <c r="E513" t="s">
        <v>1456</v>
      </c>
      <c r="F513" t="s">
        <v>28</v>
      </c>
      <c r="G513">
        <v>0</v>
      </c>
      <c r="H513">
        <v>4.528</v>
      </c>
      <c r="I513">
        <v>4.528</v>
      </c>
      <c r="J513">
        <v>54</v>
      </c>
      <c r="K513">
        <v>32.5</v>
      </c>
      <c r="L513">
        <v>54</v>
      </c>
      <c r="M513">
        <v>32.5</v>
      </c>
      <c r="N513">
        <v>54</v>
      </c>
      <c r="O513">
        <v>1</v>
      </c>
      <c r="P513">
        <v>0.9161481481481482</v>
      </c>
    </row>
    <row r="514" spans="1:16" x14ac:dyDescent="0.25">
      <c r="A514">
        <v>508</v>
      </c>
      <c r="B514" t="s">
        <v>940</v>
      </c>
      <c r="C514" t="s">
        <v>1457</v>
      </c>
      <c r="D514" t="s">
        <v>255</v>
      </c>
      <c r="E514" t="s">
        <v>1458</v>
      </c>
      <c r="F514" t="s">
        <v>28</v>
      </c>
      <c r="G514">
        <v>0</v>
      </c>
      <c r="H514">
        <v>4.528</v>
      </c>
      <c r="I514">
        <v>4.528</v>
      </c>
      <c r="J514">
        <v>165</v>
      </c>
      <c r="K514">
        <v>99</v>
      </c>
      <c r="L514">
        <v>165</v>
      </c>
      <c r="M514">
        <v>99</v>
      </c>
      <c r="N514">
        <v>165</v>
      </c>
      <c r="O514">
        <v>1</v>
      </c>
      <c r="P514">
        <v>0.9725575757575758</v>
      </c>
    </row>
    <row r="515" spans="1:16" x14ac:dyDescent="0.25">
      <c r="A515">
        <v>509</v>
      </c>
      <c r="B515" t="s">
        <v>940</v>
      </c>
      <c r="C515" t="s">
        <v>1459</v>
      </c>
      <c r="D515" t="s">
        <v>255</v>
      </c>
      <c r="E515" t="s">
        <v>1460</v>
      </c>
      <c r="F515" t="s">
        <v>28</v>
      </c>
      <c r="G515">
        <v>0</v>
      </c>
      <c r="H515">
        <v>4.528</v>
      </c>
      <c r="I515">
        <v>4.528</v>
      </c>
      <c r="J515">
        <v>165</v>
      </c>
      <c r="K515">
        <v>99</v>
      </c>
      <c r="L515">
        <v>165</v>
      </c>
      <c r="M515">
        <v>99</v>
      </c>
      <c r="N515">
        <v>165</v>
      </c>
      <c r="O515">
        <v>1</v>
      </c>
      <c r="P515">
        <v>0.9725575757575758</v>
      </c>
    </row>
    <row r="516" spans="1:16" x14ac:dyDescent="0.25">
      <c r="A516">
        <v>510</v>
      </c>
      <c r="B516" t="s">
        <v>940</v>
      </c>
      <c r="C516" t="s">
        <v>1461</v>
      </c>
      <c r="D516" t="s">
        <v>255</v>
      </c>
      <c r="E516" t="s">
        <v>1462</v>
      </c>
      <c r="F516" t="s">
        <v>28</v>
      </c>
      <c r="G516">
        <v>0</v>
      </c>
      <c r="H516">
        <v>4.528</v>
      </c>
      <c r="I516">
        <v>4.528</v>
      </c>
      <c r="J516">
        <v>8</v>
      </c>
      <c r="K516">
        <v>6.5</v>
      </c>
      <c r="L516">
        <v>8</v>
      </c>
      <c r="M516">
        <v>6.5</v>
      </c>
      <c r="N516">
        <v>8</v>
      </c>
      <c r="O516">
        <v>1</v>
      </c>
      <c r="P516">
        <v>0.43400000000000005</v>
      </c>
    </row>
    <row r="517" spans="1:16" x14ac:dyDescent="0.25">
      <c r="A517">
        <v>511</v>
      </c>
      <c r="B517" t="s">
        <v>940</v>
      </c>
      <c r="C517" t="s">
        <v>1463</v>
      </c>
      <c r="D517" t="s">
        <v>255</v>
      </c>
      <c r="E517" t="s">
        <v>1464</v>
      </c>
      <c r="F517" t="s">
        <v>28</v>
      </c>
      <c r="G517">
        <v>0</v>
      </c>
      <c r="H517">
        <v>4.528</v>
      </c>
      <c r="I517">
        <v>4.528</v>
      </c>
      <c r="J517">
        <v>25</v>
      </c>
      <c r="K517">
        <v>21.5</v>
      </c>
      <c r="L517">
        <v>25</v>
      </c>
      <c r="M517">
        <v>21.5</v>
      </c>
      <c r="N517">
        <v>25</v>
      </c>
      <c r="O517">
        <v>1</v>
      </c>
      <c r="P517">
        <v>0.81888</v>
      </c>
    </row>
    <row r="518" spans="1:16" x14ac:dyDescent="0.25">
      <c r="A518">
        <v>512</v>
      </c>
      <c r="B518" t="s">
        <v>940</v>
      </c>
      <c r="C518" t="s">
        <v>1465</v>
      </c>
      <c r="D518" t="s">
        <v>255</v>
      </c>
      <c r="E518" t="s">
        <v>1466</v>
      </c>
      <c r="F518" t="s">
        <v>28</v>
      </c>
      <c r="G518">
        <v>0</v>
      </c>
      <c r="H518">
        <v>4.528</v>
      </c>
      <c r="I518">
        <v>4.528</v>
      </c>
      <c r="J518">
        <v>14</v>
      </c>
      <c r="K518">
        <v>10</v>
      </c>
      <c r="L518">
        <v>14</v>
      </c>
      <c r="M518">
        <v>10</v>
      </c>
      <c r="N518">
        <v>14</v>
      </c>
      <c r="O518">
        <v>1</v>
      </c>
      <c r="P518">
        <v>0.6765714285714287</v>
      </c>
    </row>
    <row r="519" spans="1:16" x14ac:dyDescent="0.25">
      <c r="A519">
        <v>513</v>
      </c>
      <c r="B519" t="s">
        <v>940</v>
      </c>
      <c r="C519" t="s">
        <v>1467</v>
      </c>
      <c r="D519" t="s">
        <v>255</v>
      </c>
      <c r="E519" t="s">
        <v>1468</v>
      </c>
      <c r="F519" t="s">
        <v>28</v>
      </c>
      <c r="G519">
        <v>0</v>
      </c>
      <c r="H519">
        <v>4.528</v>
      </c>
      <c r="I519">
        <v>4.528</v>
      </c>
      <c r="J519">
        <v>240</v>
      </c>
      <c r="K519">
        <v>252</v>
      </c>
      <c r="L519">
        <v>240</v>
      </c>
      <c r="M519">
        <v>192</v>
      </c>
      <c r="N519">
        <v>240</v>
      </c>
      <c r="O519">
        <v>1</v>
      </c>
      <c r="P519">
        <v>0.9811333333333334</v>
      </c>
    </row>
    <row r="520" spans="1:16" x14ac:dyDescent="0.25">
      <c r="A520">
        <v>514</v>
      </c>
      <c r="B520" t="s">
        <v>940</v>
      </c>
      <c r="C520" t="s">
        <v>1469</v>
      </c>
      <c r="D520" t="s">
        <v>255</v>
      </c>
      <c r="E520" t="s">
        <v>1470</v>
      </c>
      <c r="F520" t="s">
        <v>28</v>
      </c>
      <c r="G520">
        <v>0</v>
      </c>
      <c r="H520">
        <v>4.528</v>
      </c>
      <c r="I520">
        <v>4.528</v>
      </c>
      <c r="J520">
        <v>85</v>
      </c>
      <c r="K520">
        <v>55.5</v>
      </c>
      <c r="L520">
        <v>85</v>
      </c>
      <c r="M520">
        <v>55.5</v>
      </c>
      <c r="N520">
        <v>85</v>
      </c>
      <c r="O520">
        <v>1</v>
      </c>
      <c r="P520">
        <v>0.9467294117647058</v>
      </c>
    </row>
    <row r="521" spans="1:16" x14ac:dyDescent="0.25">
      <c r="A521">
        <v>515</v>
      </c>
      <c r="B521" t="s">
        <v>940</v>
      </c>
      <c r="C521" t="s">
        <v>1471</v>
      </c>
      <c r="D521" t="s">
        <v>255</v>
      </c>
      <c r="E521" t="s">
        <v>1472</v>
      </c>
      <c r="F521" t="s">
        <v>28</v>
      </c>
      <c r="G521">
        <v>0</v>
      </c>
      <c r="H521">
        <v>4.528</v>
      </c>
      <c r="I521">
        <v>4.528</v>
      </c>
      <c r="J521">
        <v>22</v>
      </c>
      <c r="K521">
        <v>15.5</v>
      </c>
      <c r="L521">
        <v>22</v>
      </c>
      <c r="M521">
        <v>15.5</v>
      </c>
      <c r="N521">
        <v>22</v>
      </c>
      <c r="O521">
        <v>1</v>
      </c>
      <c r="P521">
        <v>0.7941818181818182</v>
      </c>
    </row>
    <row r="522" spans="1:16" x14ac:dyDescent="0.25">
      <c r="A522">
        <v>516</v>
      </c>
      <c r="B522" t="s">
        <v>940</v>
      </c>
      <c r="C522" t="s">
        <v>1473</v>
      </c>
      <c r="D522" t="s">
        <v>255</v>
      </c>
      <c r="E522" t="s">
        <v>1474</v>
      </c>
      <c r="F522" t="s">
        <v>28</v>
      </c>
      <c r="G522">
        <v>0</v>
      </c>
      <c r="H522">
        <v>4.528</v>
      </c>
      <c r="I522">
        <v>4.528</v>
      </c>
      <c r="J522">
        <v>35</v>
      </c>
      <c r="K522">
        <v>0</v>
      </c>
      <c r="L522">
        <v>35</v>
      </c>
      <c r="M522">
        <v>28</v>
      </c>
      <c r="N522">
        <v>35</v>
      </c>
      <c r="O522">
        <v>1</v>
      </c>
      <c r="P522">
        <v>0.8706285714285714</v>
      </c>
    </row>
    <row r="523" spans="1:16" x14ac:dyDescent="0.25">
      <c r="A523">
        <v>517</v>
      </c>
      <c r="B523" t="s">
        <v>940</v>
      </c>
      <c r="C523" t="s">
        <v>1475</v>
      </c>
      <c r="D523" t="s">
        <v>255</v>
      </c>
      <c r="E523" t="s">
        <v>1476</v>
      </c>
      <c r="F523" t="s">
        <v>28</v>
      </c>
      <c r="G523">
        <v>0</v>
      </c>
      <c r="H523">
        <v>4.528</v>
      </c>
      <c r="I523">
        <v>4.528</v>
      </c>
      <c r="J523">
        <v>35</v>
      </c>
      <c r="K523">
        <v>0</v>
      </c>
      <c r="L523">
        <v>35</v>
      </c>
      <c r="M523">
        <v>28</v>
      </c>
      <c r="N523">
        <v>35</v>
      </c>
      <c r="O523">
        <v>1</v>
      </c>
      <c r="P523">
        <v>0.8706285714285714</v>
      </c>
    </row>
    <row r="524" spans="1:16" x14ac:dyDescent="0.25">
      <c r="A524">
        <v>518</v>
      </c>
      <c r="B524" t="s">
        <v>940</v>
      </c>
      <c r="C524" t="s">
        <v>1477</v>
      </c>
      <c r="D524" t="s">
        <v>255</v>
      </c>
      <c r="E524" t="s">
        <v>1478</v>
      </c>
      <c r="F524" t="s">
        <v>28</v>
      </c>
      <c r="G524">
        <v>0</v>
      </c>
      <c r="H524">
        <v>4.528</v>
      </c>
      <c r="I524">
        <v>4.528</v>
      </c>
      <c r="J524">
        <v>25</v>
      </c>
      <c r="K524">
        <v>0</v>
      </c>
      <c r="L524">
        <v>25</v>
      </c>
      <c r="M524">
        <v>20</v>
      </c>
      <c r="N524">
        <v>25</v>
      </c>
      <c r="O524">
        <v>1</v>
      </c>
      <c r="P524">
        <v>0.81888</v>
      </c>
    </row>
    <row r="525" spans="1:16" x14ac:dyDescent="0.25">
      <c r="A525">
        <v>519</v>
      </c>
      <c r="B525" t="s">
        <v>940</v>
      </c>
      <c r="C525" t="s">
        <v>1479</v>
      </c>
      <c r="D525" t="s">
        <v>255</v>
      </c>
      <c r="E525" t="s">
        <v>1480</v>
      </c>
      <c r="F525" t="s">
        <v>28</v>
      </c>
      <c r="G525">
        <v>0</v>
      </c>
      <c r="H525">
        <v>4.528</v>
      </c>
      <c r="I525">
        <v>4.528</v>
      </c>
      <c r="J525">
        <v>13</v>
      </c>
      <c r="K525">
        <v>10.5</v>
      </c>
      <c r="L525">
        <v>13</v>
      </c>
      <c r="M525">
        <v>10.5</v>
      </c>
      <c r="N525">
        <v>13</v>
      </c>
      <c r="O525">
        <v>1</v>
      </c>
      <c r="P525">
        <v>0.6516923076923078</v>
      </c>
    </row>
    <row r="526" spans="1:16" x14ac:dyDescent="0.25">
      <c r="A526">
        <v>520</v>
      </c>
      <c r="B526" t="s">
        <v>940</v>
      </c>
      <c r="C526" t="s">
        <v>1481</v>
      </c>
      <c r="D526" t="s">
        <v>255</v>
      </c>
      <c r="E526" t="s">
        <v>1482</v>
      </c>
      <c r="F526" t="s">
        <v>28</v>
      </c>
      <c r="G526">
        <v>0</v>
      </c>
      <c r="H526">
        <v>4.528</v>
      </c>
      <c r="I526">
        <v>4.528</v>
      </c>
      <c r="J526">
        <v>25</v>
      </c>
      <c r="K526">
        <v>0</v>
      </c>
      <c r="L526">
        <v>25</v>
      </c>
      <c r="M526">
        <v>20</v>
      </c>
      <c r="N526">
        <v>25</v>
      </c>
      <c r="O526">
        <v>1</v>
      </c>
      <c r="P526">
        <v>0.81888</v>
      </c>
    </row>
    <row r="527" spans="1:16" x14ac:dyDescent="0.25">
      <c r="A527">
        <v>521</v>
      </c>
      <c r="B527" t="s">
        <v>940</v>
      </c>
      <c r="C527" t="s">
        <v>1483</v>
      </c>
      <c r="D527" t="s">
        <v>255</v>
      </c>
      <c r="E527" t="s">
        <v>1484</v>
      </c>
      <c r="F527" t="s">
        <v>28</v>
      </c>
      <c r="G527">
        <v>0</v>
      </c>
      <c r="H527">
        <v>4.528</v>
      </c>
      <c r="I527">
        <v>4.528</v>
      </c>
      <c r="J527">
        <v>14</v>
      </c>
      <c r="K527">
        <v>12.5</v>
      </c>
      <c r="L527">
        <v>14</v>
      </c>
      <c r="M527">
        <v>12.5</v>
      </c>
      <c r="N527">
        <v>14</v>
      </c>
      <c r="O527">
        <v>1</v>
      </c>
      <c r="P527">
        <v>0.6765714285714287</v>
      </c>
    </row>
    <row r="528" spans="1:16" x14ac:dyDescent="0.25">
      <c r="A528">
        <v>522</v>
      </c>
      <c r="B528" t="s">
        <v>940</v>
      </c>
      <c r="C528" t="s">
        <v>1485</v>
      </c>
      <c r="D528" t="s">
        <v>255</v>
      </c>
      <c r="E528" t="s">
        <v>1486</v>
      </c>
      <c r="F528" t="s">
        <v>28</v>
      </c>
      <c r="G528">
        <v>0</v>
      </c>
      <c r="H528">
        <v>4.528</v>
      </c>
      <c r="I528">
        <v>4.528</v>
      </c>
      <c r="J528">
        <v>13</v>
      </c>
      <c r="K528">
        <v>10.5</v>
      </c>
      <c r="L528">
        <v>13</v>
      </c>
      <c r="M528">
        <v>10.5</v>
      </c>
      <c r="N528">
        <v>13</v>
      </c>
      <c r="O528">
        <v>1</v>
      </c>
      <c r="P528">
        <v>0.6516923076923078</v>
      </c>
    </row>
    <row r="529" spans="1:16" x14ac:dyDescent="0.25">
      <c r="A529">
        <v>523</v>
      </c>
      <c r="B529" t="s">
        <v>940</v>
      </c>
      <c r="C529" t="s">
        <v>1487</v>
      </c>
      <c r="D529" t="s">
        <v>255</v>
      </c>
      <c r="E529" t="s">
        <v>1488</v>
      </c>
      <c r="F529" t="s">
        <v>28</v>
      </c>
      <c r="G529">
        <v>0</v>
      </c>
      <c r="H529">
        <v>4.528</v>
      </c>
      <c r="I529">
        <v>4.528</v>
      </c>
      <c r="J529">
        <v>180</v>
      </c>
      <c r="K529">
        <v>0</v>
      </c>
      <c r="L529">
        <v>180</v>
      </c>
      <c r="M529">
        <v>144</v>
      </c>
      <c r="N529">
        <v>180</v>
      </c>
      <c r="O529">
        <v>1</v>
      </c>
      <c r="P529">
        <v>0.9748444444444445</v>
      </c>
    </row>
    <row r="530" spans="1:16" x14ac:dyDescent="0.25">
      <c r="A530">
        <v>524</v>
      </c>
      <c r="B530" t="s">
        <v>940</v>
      </c>
      <c r="C530" t="s">
        <v>1489</v>
      </c>
      <c r="D530" t="s">
        <v>255</v>
      </c>
      <c r="E530" t="s">
        <v>1490</v>
      </c>
      <c r="F530" t="s">
        <v>28</v>
      </c>
      <c r="G530">
        <v>0</v>
      </c>
      <c r="H530">
        <v>4.528</v>
      </c>
      <c r="I530">
        <v>4.528</v>
      </c>
      <c r="J530">
        <v>19</v>
      </c>
      <c r="K530">
        <v>15</v>
      </c>
      <c r="L530">
        <v>19</v>
      </c>
      <c r="M530">
        <v>15</v>
      </c>
      <c r="N530">
        <v>19</v>
      </c>
      <c r="O530">
        <v>1</v>
      </c>
      <c r="P530">
        <v>0.7616842105263159</v>
      </c>
    </row>
    <row r="531" spans="1:16" x14ac:dyDescent="0.25">
      <c r="A531">
        <v>525</v>
      </c>
      <c r="B531" t="s">
        <v>940</v>
      </c>
      <c r="C531" t="s">
        <v>1491</v>
      </c>
      <c r="D531" t="s">
        <v>255</v>
      </c>
      <c r="E531" t="s">
        <v>1492</v>
      </c>
      <c r="F531" t="s">
        <v>28</v>
      </c>
      <c r="G531">
        <v>0</v>
      </c>
      <c r="H531">
        <v>4.528</v>
      </c>
      <c r="I531">
        <v>4.528</v>
      </c>
      <c r="J531">
        <v>22</v>
      </c>
      <c r="K531">
        <v>17.5</v>
      </c>
      <c r="L531">
        <v>22</v>
      </c>
      <c r="M531">
        <v>17.5</v>
      </c>
      <c r="N531">
        <v>22</v>
      </c>
      <c r="O531">
        <v>1</v>
      </c>
      <c r="P531">
        <v>0.7941818181818182</v>
      </c>
    </row>
    <row r="532" spans="1:16" x14ac:dyDescent="0.25">
      <c r="A532">
        <v>526</v>
      </c>
      <c r="B532" t="s">
        <v>940</v>
      </c>
      <c r="C532" t="s">
        <v>1493</v>
      </c>
      <c r="D532" t="s">
        <v>255</v>
      </c>
      <c r="E532" t="s">
        <v>1494</v>
      </c>
      <c r="F532" t="s">
        <v>28</v>
      </c>
      <c r="G532">
        <v>0</v>
      </c>
      <c r="H532">
        <v>4.528</v>
      </c>
      <c r="I532">
        <v>4.528</v>
      </c>
      <c r="J532">
        <v>24</v>
      </c>
      <c r="K532">
        <v>18</v>
      </c>
      <c r="L532">
        <v>24</v>
      </c>
      <c r="M532">
        <v>18</v>
      </c>
      <c r="N532">
        <v>24</v>
      </c>
      <c r="O532">
        <v>1</v>
      </c>
      <c r="P532">
        <v>0.8113333333333334</v>
      </c>
    </row>
    <row r="533" spans="1:16" x14ac:dyDescent="0.25">
      <c r="A533">
        <v>527</v>
      </c>
      <c r="B533" t="s">
        <v>940</v>
      </c>
      <c r="C533" t="s">
        <v>1495</v>
      </c>
      <c r="D533" t="s">
        <v>255</v>
      </c>
      <c r="E533" t="s">
        <v>1496</v>
      </c>
      <c r="F533" t="s">
        <v>28</v>
      </c>
      <c r="G533">
        <v>0</v>
      </c>
      <c r="H533">
        <v>4.528</v>
      </c>
      <c r="I533">
        <v>4.528</v>
      </c>
      <c r="J533">
        <v>27</v>
      </c>
      <c r="K533">
        <v>21.5</v>
      </c>
      <c r="L533">
        <v>27</v>
      </c>
      <c r="M533">
        <v>21.5</v>
      </c>
      <c r="N533">
        <v>27</v>
      </c>
      <c r="O533">
        <v>1</v>
      </c>
      <c r="P533">
        <v>0.8322962962962963</v>
      </c>
    </row>
    <row r="534" spans="1:16" x14ac:dyDescent="0.25">
      <c r="A534">
        <v>528</v>
      </c>
      <c r="B534" t="s">
        <v>940</v>
      </c>
      <c r="C534" t="s">
        <v>1497</v>
      </c>
      <c r="D534" t="s">
        <v>255</v>
      </c>
      <c r="E534" t="s">
        <v>1498</v>
      </c>
      <c r="F534" t="s">
        <v>28</v>
      </c>
      <c r="G534">
        <v>0</v>
      </c>
      <c r="H534">
        <v>4.528</v>
      </c>
      <c r="I534">
        <v>4.528</v>
      </c>
      <c r="J534">
        <v>84</v>
      </c>
      <c r="K534">
        <v>59</v>
      </c>
      <c r="L534">
        <v>84</v>
      </c>
      <c r="M534">
        <v>59</v>
      </c>
      <c r="N534">
        <v>84</v>
      </c>
      <c r="O534">
        <v>1</v>
      </c>
      <c r="P534">
        <v>0.946095238095238</v>
      </c>
    </row>
    <row r="535" spans="1:16" x14ac:dyDescent="0.25">
      <c r="A535">
        <v>529</v>
      </c>
      <c r="B535" t="s">
        <v>940</v>
      </c>
      <c r="C535" t="s">
        <v>1499</v>
      </c>
      <c r="D535" t="s">
        <v>255</v>
      </c>
      <c r="E535" t="s">
        <v>1500</v>
      </c>
      <c r="F535" t="s">
        <v>28</v>
      </c>
      <c r="G535">
        <v>0</v>
      </c>
      <c r="H535">
        <v>4.528</v>
      </c>
      <c r="I535">
        <v>4.528</v>
      </c>
      <c r="J535">
        <v>108</v>
      </c>
      <c r="K535">
        <v>70</v>
      </c>
      <c r="L535">
        <v>108</v>
      </c>
      <c r="M535">
        <v>70</v>
      </c>
      <c r="N535">
        <v>108</v>
      </c>
      <c r="O535">
        <v>1</v>
      </c>
      <c r="P535">
        <v>0.958074074074074</v>
      </c>
    </row>
    <row r="536" spans="1:16" x14ac:dyDescent="0.25">
      <c r="A536">
        <v>530</v>
      </c>
      <c r="B536" t="s">
        <v>940</v>
      </c>
      <c r="C536" t="s">
        <v>1501</v>
      </c>
      <c r="D536" t="s">
        <v>255</v>
      </c>
      <c r="E536" t="s">
        <v>1502</v>
      </c>
      <c r="F536" t="s">
        <v>28</v>
      </c>
      <c r="G536">
        <v>0</v>
      </c>
      <c r="H536">
        <v>4.528</v>
      </c>
      <c r="I536">
        <v>4.528</v>
      </c>
      <c r="J536">
        <v>132</v>
      </c>
      <c r="K536">
        <v>92.5</v>
      </c>
      <c r="L536">
        <v>132</v>
      </c>
      <c r="M536">
        <v>92.5</v>
      </c>
      <c r="N536">
        <v>132</v>
      </c>
      <c r="O536">
        <v>1</v>
      </c>
      <c r="P536">
        <v>0.9656969696969696</v>
      </c>
    </row>
    <row r="537" spans="1:16" x14ac:dyDescent="0.25">
      <c r="A537">
        <v>531</v>
      </c>
      <c r="B537" t="s">
        <v>940</v>
      </c>
      <c r="C537" t="s">
        <v>1503</v>
      </c>
      <c r="D537" t="s">
        <v>255</v>
      </c>
      <c r="E537" t="s">
        <v>1504</v>
      </c>
      <c r="F537" t="s">
        <v>28</v>
      </c>
      <c r="G537">
        <v>0</v>
      </c>
      <c r="H537">
        <v>4.528</v>
      </c>
      <c r="I537">
        <v>4.528</v>
      </c>
      <c r="J537">
        <v>156</v>
      </c>
      <c r="K537">
        <v>101.5</v>
      </c>
      <c r="L537">
        <v>156</v>
      </c>
      <c r="M537">
        <v>101.5</v>
      </c>
      <c r="N537">
        <v>156</v>
      </c>
      <c r="O537">
        <v>1</v>
      </c>
      <c r="P537">
        <v>0.970974358974359</v>
      </c>
    </row>
    <row r="538" spans="1:16" x14ac:dyDescent="0.25">
      <c r="A538">
        <v>532</v>
      </c>
      <c r="B538" t="s">
        <v>940</v>
      </c>
      <c r="C538" t="s">
        <v>1505</v>
      </c>
      <c r="D538" t="s">
        <v>255</v>
      </c>
      <c r="E538" t="s">
        <v>1506</v>
      </c>
      <c r="F538" t="s">
        <v>28</v>
      </c>
      <c r="G538">
        <v>0</v>
      </c>
      <c r="H538">
        <v>4.528</v>
      </c>
      <c r="I538">
        <v>4.528</v>
      </c>
      <c r="J538">
        <v>103</v>
      </c>
      <c r="K538">
        <v>67</v>
      </c>
      <c r="L538">
        <v>103</v>
      </c>
      <c r="M538">
        <v>67</v>
      </c>
      <c r="N538">
        <v>103</v>
      </c>
      <c r="O538">
        <v>1</v>
      </c>
      <c r="P538">
        <v>0.9560388349514563</v>
      </c>
    </row>
    <row r="539" spans="1:16" x14ac:dyDescent="0.25">
      <c r="A539">
        <v>533</v>
      </c>
      <c r="B539" t="s">
        <v>940</v>
      </c>
      <c r="C539" t="s">
        <v>1507</v>
      </c>
      <c r="D539" t="s">
        <v>255</v>
      </c>
      <c r="E539" t="s">
        <v>1508</v>
      </c>
      <c r="F539" t="s">
        <v>28</v>
      </c>
      <c r="G539">
        <v>0</v>
      </c>
      <c r="H539">
        <v>4.528</v>
      </c>
      <c r="I539">
        <v>4.528</v>
      </c>
      <c r="J539">
        <v>130</v>
      </c>
      <c r="K539">
        <v>84.5</v>
      </c>
      <c r="L539">
        <v>130</v>
      </c>
      <c r="M539">
        <v>84.5</v>
      </c>
      <c r="N539">
        <v>130</v>
      </c>
      <c r="O539">
        <v>1</v>
      </c>
      <c r="P539">
        <v>0.9651692307692308</v>
      </c>
    </row>
    <row r="540" spans="1:16" x14ac:dyDescent="0.25">
      <c r="A540">
        <v>534</v>
      </c>
      <c r="B540" t="s">
        <v>940</v>
      </c>
      <c r="C540" t="s">
        <v>1509</v>
      </c>
      <c r="D540" t="s">
        <v>255</v>
      </c>
      <c r="E540" t="s">
        <v>1510</v>
      </c>
      <c r="F540" t="s">
        <v>28</v>
      </c>
      <c r="G540">
        <v>0</v>
      </c>
      <c r="H540">
        <v>4.528</v>
      </c>
      <c r="I540">
        <v>4.528</v>
      </c>
      <c r="J540">
        <v>156</v>
      </c>
      <c r="K540">
        <v>101.5</v>
      </c>
      <c r="L540">
        <v>156</v>
      </c>
      <c r="M540">
        <v>101.5</v>
      </c>
      <c r="N540">
        <v>156</v>
      </c>
      <c r="O540">
        <v>1</v>
      </c>
      <c r="P540">
        <v>0.970974358974359</v>
      </c>
    </row>
    <row r="541" spans="1:16" x14ac:dyDescent="0.25">
      <c r="A541">
        <v>535</v>
      </c>
      <c r="B541" t="s">
        <v>940</v>
      </c>
      <c r="C541" t="s">
        <v>1511</v>
      </c>
      <c r="D541" t="s">
        <v>255</v>
      </c>
      <c r="E541" t="s">
        <v>1512</v>
      </c>
      <c r="F541" t="s">
        <v>28</v>
      </c>
      <c r="G541">
        <v>0</v>
      </c>
      <c r="H541">
        <v>4.528</v>
      </c>
      <c r="I541">
        <v>4.528</v>
      </c>
      <c r="J541">
        <v>183</v>
      </c>
      <c r="K541">
        <v>119</v>
      </c>
      <c r="L541">
        <v>183</v>
      </c>
      <c r="M541">
        <v>119</v>
      </c>
      <c r="N541">
        <v>183</v>
      </c>
      <c r="O541">
        <v>1</v>
      </c>
      <c r="P541">
        <v>0.9752568306010929</v>
      </c>
    </row>
    <row r="542" spans="1:16" x14ac:dyDescent="0.25">
      <c r="A542">
        <v>536</v>
      </c>
      <c r="B542" t="s">
        <v>940</v>
      </c>
      <c r="C542" t="s">
        <v>1513</v>
      </c>
      <c r="D542" t="s">
        <v>255</v>
      </c>
      <c r="E542" t="s">
        <v>1514</v>
      </c>
      <c r="F542" t="s">
        <v>28</v>
      </c>
      <c r="G542">
        <v>0</v>
      </c>
      <c r="H542">
        <v>4.528</v>
      </c>
      <c r="I542">
        <v>4.528</v>
      </c>
      <c r="J542">
        <v>3</v>
      </c>
      <c r="K542">
        <v>2</v>
      </c>
      <c r="L542">
        <v>3</v>
      </c>
      <c r="M542">
        <v>2</v>
      </c>
      <c r="N542">
        <v>3</v>
      </c>
      <c r="O542">
        <v>1</v>
      </c>
      <c r="P542">
        <v>-0.5093333333333332</v>
      </c>
    </row>
    <row r="543" spans="1:16" x14ac:dyDescent="0.25">
      <c r="A543">
        <v>537</v>
      </c>
      <c r="B543" t="s">
        <v>940</v>
      </c>
      <c r="C543" t="s">
        <v>1515</v>
      </c>
      <c r="D543" t="s">
        <v>255</v>
      </c>
      <c r="E543" t="s">
        <v>1516</v>
      </c>
      <c r="F543" t="s">
        <v>28</v>
      </c>
      <c r="G543">
        <v>0</v>
      </c>
      <c r="H543">
        <v>4.528</v>
      </c>
      <c r="I543">
        <v>4.528</v>
      </c>
      <c r="J543">
        <v>14</v>
      </c>
      <c r="K543">
        <v>9</v>
      </c>
      <c r="L543">
        <v>14</v>
      </c>
      <c r="M543">
        <v>9</v>
      </c>
      <c r="N543">
        <v>14</v>
      </c>
      <c r="O543">
        <v>1</v>
      </c>
      <c r="P543">
        <v>0.6765714285714287</v>
      </c>
    </row>
    <row r="544" spans="1:16" x14ac:dyDescent="0.25">
      <c r="A544">
        <v>538</v>
      </c>
      <c r="B544" t="s">
        <v>940</v>
      </c>
      <c r="C544" t="s">
        <v>1517</v>
      </c>
      <c r="D544" t="s">
        <v>255</v>
      </c>
      <c r="E544" t="s">
        <v>1518</v>
      </c>
      <c r="F544" t="s">
        <v>28</v>
      </c>
      <c r="G544">
        <v>0</v>
      </c>
      <c r="H544">
        <v>4.528</v>
      </c>
      <c r="I544">
        <v>4.528</v>
      </c>
      <c r="J544">
        <v>14</v>
      </c>
      <c r="K544">
        <v>9</v>
      </c>
      <c r="L544">
        <v>14</v>
      </c>
      <c r="M544">
        <v>9</v>
      </c>
      <c r="N544">
        <v>14</v>
      </c>
      <c r="O544">
        <v>1</v>
      </c>
      <c r="P544">
        <v>0.6765714285714287</v>
      </c>
    </row>
    <row r="545" spans="1:16" x14ac:dyDescent="0.25">
      <c r="A545">
        <v>539</v>
      </c>
      <c r="B545" t="s">
        <v>940</v>
      </c>
      <c r="C545" t="s">
        <v>1519</v>
      </c>
      <c r="D545" t="s">
        <v>255</v>
      </c>
      <c r="E545" t="s">
        <v>1520</v>
      </c>
      <c r="F545" t="s">
        <v>28</v>
      </c>
      <c r="G545">
        <v>0</v>
      </c>
      <c r="H545">
        <v>4.528</v>
      </c>
      <c r="I545">
        <v>4.528</v>
      </c>
      <c r="J545">
        <v>24</v>
      </c>
      <c r="K545">
        <v>19</v>
      </c>
      <c r="L545">
        <v>24</v>
      </c>
      <c r="M545">
        <v>19</v>
      </c>
      <c r="N545">
        <v>24</v>
      </c>
      <c r="O545">
        <v>1</v>
      </c>
      <c r="P545">
        <v>0.8113333333333334</v>
      </c>
    </row>
    <row r="546" spans="1:16" x14ac:dyDescent="0.25">
      <c r="A546">
        <v>540</v>
      </c>
      <c r="B546" t="s">
        <v>940</v>
      </c>
      <c r="C546" t="s">
        <v>1521</v>
      </c>
      <c r="D546" t="s">
        <v>255</v>
      </c>
      <c r="E546" t="s">
        <v>1522</v>
      </c>
      <c r="F546" t="s">
        <v>28</v>
      </c>
      <c r="G546">
        <v>0</v>
      </c>
      <c r="H546">
        <v>4.528</v>
      </c>
      <c r="I546">
        <v>4.528</v>
      </c>
      <c r="J546">
        <v>18</v>
      </c>
      <c r="K546">
        <v>18</v>
      </c>
      <c r="L546">
        <v>18</v>
      </c>
      <c r="M546">
        <v>14.4</v>
      </c>
      <c r="N546">
        <v>18</v>
      </c>
      <c r="O546">
        <v>1</v>
      </c>
      <c r="P546">
        <v>0.7484444444444445</v>
      </c>
    </row>
    <row r="547" spans="1:16" x14ac:dyDescent="0.25">
      <c r="A547">
        <v>541</v>
      </c>
      <c r="B547" t="s">
        <v>940</v>
      </c>
      <c r="C547" t="s">
        <v>1523</v>
      </c>
      <c r="D547" t="s">
        <v>255</v>
      </c>
      <c r="E547" t="s">
        <v>1524</v>
      </c>
      <c r="F547" t="s">
        <v>28</v>
      </c>
      <c r="G547">
        <v>0</v>
      </c>
      <c r="H547">
        <v>4.528</v>
      </c>
      <c r="I547">
        <v>4.528</v>
      </c>
      <c r="J547">
        <v>18</v>
      </c>
      <c r="K547">
        <v>18</v>
      </c>
      <c r="L547">
        <v>18</v>
      </c>
      <c r="M547">
        <v>14.4</v>
      </c>
      <c r="N547">
        <v>18</v>
      </c>
      <c r="O547">
        <v>1</v>
      </c>
      <c r="P547">
        <v>0.7484444444444445</v>
      </c>
    </row>
    <row r="548" spans="1:16" x14ac:dyDescent="0.25">
      <c r="A548">
        <v>542</v>
      </c>
      <c r="B548" t="s">
        <v>940</v>
      </c>
      <c r="C548" t="s">
        <v>1525</v>
      </c>
      <c r="D548" t="s">
        <v>255</v>
      </c>
      <c r="E548" t="s">
        <v>1526</v>
      </c>
      <c r="F548" t="s">
        <v>28</v>
      </c>
      <c r="G548">
        <v>0</v>
      </c>
      <c r="H548">
        <v>4.528</v>
      </c>
      <c r="I548">
        <v>4.528</v>
      </c>
      <c r="J548">
        <v>112</v>
      </c>
      <c r="K548">
        <v>67</v>
      </c>
      <c r="L548">
        <v>112</v>
      </c>
      <c r="M548">
        <v>67</v>
      </c>
      <c r="N548">
        <v>112</v>
      </c>
      <c r="O548">
        <v>1</v>
      </c>
      <c r="P548">
        <v>0.9595714285714285</v>
      </c>
    </row>
    <row r="549" spans="1:16" x14ac:dyDescent="0.25">
      <c r="A549">
        <v>543</v>
      </c>
      <c r="B549" t="s">
        <v>940</v>
      </c>
      <c r="C549" t="s">
        <v>1527</v>
      </c>
      <c r="D549" t="s">
        <v>255</v>
      </c>
      <c r="E549" t="s">
        <v>1528</v>
      </c>
      <c r="F549" t="s">
        <v>28</v>
      </c>
      <c r="G549">
        <v>0</v>
      </c>
      <c r="H549">
        <v>4.528</v>
      </c>
      <c r="I549">
        <v>4.528</v>
      </c>
      <c r="J549">
        <v>174</v>
      </c>
      <c r="K549">
        <v>104.5</v>
      </c>
      <c r="L549">
        <v>174</v>
      </c>
      <c r="M549">
        <v>104.5</v>
      </c>
      <c r="N549">
        <v>174</v>
      </c>
      <c r="O549">
        <v>1</v>
      </c>
      <c r="P549">
        <v>0.973977011494253</v>
      </c>
    </row>
    <row r="550" spans="1:16" x14ac:dyDescent="0.25">
      <c r="A550">
        <v>544</v>
      </c>
      <c r="B550" t="s">
        <v>940</v>
      </c>
      <c r="C550" t="s">
        <v>1529</v>
      </c>
      <c r="D550" t="s">
        <v>255</v>
      </c>
      <c r="E550" t="s">
        <v>1530</v>
      </c>
      <c r="F550" t="s">
        <v>28</v>
      </c>
      <c r="G550">
        <v>0</v>
      </c>
      <c r="H550">
        <v>4.528</v>
      </c>
      <c r="I550">
        <v>4.528</v>
      </c>
      <c r="J550">
        <v>21</v>
      </c>
      <c r="K550">
        <v>16.8</v>
      </c>
      <c r="L550">
        <v>21</v>
      </c>
      <c r="M550">
        <v>16.8</v>
      </c>
      <c r="N550">
        <v>21</v>
      </c>
      <c r="O550">
        <v>1</v>
      </c>
      <c r="P550">
        <v>0.7843809523809524</v>
      </c>
    </row>
    <row r="551" spans="1:16" x14ac:dyDescent="0.25">
      <c r="A551">
        <v>545</v>
      </c>
      <c r="B551" t="s">
        <v>940</v>
      </c>
      <c r="C551" t="s">
        <v>1531</v>
      </c>
      <c r="D551" t="s">
        <v>255</v>
      </c>
      <c r="E551" t="s">
        <v>1532</v>
      </c>
      <c r="F551" t="s">
        <v>28</v>
      </c>
      <c r="G551">
        <v>0</v>
      </c>
      <c r="H551">
        <v>4.528</v>
      </c>
      <c r="I551">
        <v>4.528</v>
      </c>
      <c r="J551">
        <v>20</v>
      </c>
      <c r="K551">
        <v>16</v>
      </c>
      <c r="L551">
        <v>20</v>
      </c>
      <c r="M551">
        <v>16</v>
      </c>
      <c r="N551">
        <v>20</v>
      </c>
      <c r="O551">
        <v>1</v>
      </c>
      <c r="P551">
        <v>0.7736000000000001</v>
      </c>
    </row>
    <row r="552" spans="1:16" x14ac:dyDescent="0.25">
      <c r="A552">
        <v>546</v>
      </c>
      <c r="B552" t="s">
        <v>940</v>
      </c>
      <c r="C552" t="s">
        <v>1533</v>
      </c>
      <c r="D552" t="s">
        <v>255</v>
      </c>
      <c r="E552" t="s">
        <v>1534</v>
      </c>
      <c r="F552" t="s">
        <v>28</v>
      </c>
      <c r="G552">
        <v>0</v>
      </c>
      <c r="H552">
        <v>4.528</v>
      </c>
      <c r="I552">
        <v>4.528</v>
      </c>
      <c r="J552">
        <v>16</v>
      </c>
      <c r="K552">
        <v>16</v>
      </c>
      <c r="L552">
        <v>16</v>
      </c>
      <c r="M552">
        <v>12.8</v>
      </c>
      <c r="N552">
        <v>16</v>
      </c>
      <c r="O552">
        <v>1</v>
      </c>
      <c r="P552">
        <v>0.7170000000000001</v>
      </c>
    </row>
    <row r="553" spans="1:16" x14ac:dyDescent="0.25">
      <c r="A553">
        <v>547</v>
      </c>
      <c r="B553" t="s">
        <v>940</v>
      </c>
      <c r="C553" t="s">
        <v>1535</v>
      </c>
      <c r="D553" t="s">
        <v>255</v>
      </c>
      <c r="E553" t="s">
        <v>1536</v>
      </c>
      <c r="F553" t="s">
        <v>28</v>
      </c>
      <c r="G553">
        <v>0</v>
      </c>
      <c r="H553">
        <v>4.528</v>
      </c>
      <c r="I553">
        <v>4.528</v>
      </c>
      <c r="J553">
        <v>47</v>
      </c>
      <c r="K553">
        <v>47</v>
      </c>
      <c r="L553">
        <v>47</v>
      </c>
      <c r="M553">
        <v>37.6</v>
      </c>
      <c r="N553">
        <v>47</v>
      </c>
      <c r="O553">
        <v>1</v>
      </c>
      <c r="P553">
        <v>0.9036595744680851</v>
      </c>
    </row>
    <row r="554" spans="1:16" x14ac:dyDescent="0.25">
      <c r="A554">
        <v>548</v>
      </c>
      <c r="B554" t="s">
        <v>940</v>
      </c>
      <c r="C554" t="s">
        <v>1537</v>
      </c>
      <c r="D554" t="s">
        <v>255</v>
      </c>
      <c r="E554" t="s">
        <v>1538</v>
      </c>
      <c r="F554" t="s">
        <v>28</v>
      </c>
      <c r="G554">
        <v>0</v>
      </c>
      <c r="H554">
        <v>4.528</v>
      </c>
      <c r="I554">
        <v>4.528</v>
      </c>
      <c r="J554">
        <v>75</v>
      </c>
      <c r="K554">
        <v>75</v>
      </c>
      <c r="L554">
        <v>75</v>
      </c>
      <c r="M554">
        <v>60</v>
      </c>
      <c r="N554">
        <v>75</v>
      </c>
      <c r="O554">
        <v>1</v>
      </c>
      <c r="P554">
        <v>0.9396266666666666</v>
      </c>
    </row>
    <row r="555" spans="1:16" x14ac:dyDescent="0.25">
      <c r="A555">
        <v>549</v>
      </c>
      <c r="B555" t="s">
        <v>940</v>
      </c>
      <c r="C555" t="s">
        <v>1539</v>
      </c>
      <c r="D555" t="s">
        <v>255</v>
      </c>
      <c r="E555" t="s">
        <v>1540</v>
      </c>
      <c r="F555" t="s">
        <v>28</v>
      </c>
      <c r="G555">
        <v>0</v>
      </c>
      <c r="H555">
        <v>4.528</v>
      </c>
      <c r="I555">
        <v>4.528</v>
      </c>
      <c r="J555">
        <v>441</v>
      </c>
      <c r="K555">
        <v>0</v>
      </c>
      <c r="L555">
        <v>441</v>
      </c>
      <c r="M555">
        <v>352.8</v>
      </c>
      <c r="N555">
        <v>441</v>
      </c>
      <c r="O555">
        <v>1</v>
      </c>
      <c r="P555">
        <v>0.9897324263038548</v>
      </c>
    </row>
    <row r="556" spans="1:16" x14ac:dyDescent="0.25">
      <c r="A556">
        <v>550</v>
      </c>
      <c r="B556" t="s">
        <v>940</v>
      </c>
      <c r="C556" t="s">
        <v>1541</v>
      </c>
      <c r="D556" t="s">
        <v>255</v>
      </c>
      <c r="E556" t="s">
        <v>1542</v>
      </c>
      <c r="F556" t="s">
        <v>28</v>
      </c>
      <c r="G556">
        <v>0</v>
      </c>
      <c r="H556">
        <v>4.528</v>
      </c>
      <c r="I556">
        <v>4.528</v>
      </c>
      <c r="J556">
        <v>125</v>
      </c>
      <c r="K556">
        <v>119</v>
      </c>
      <c r="L556">
        <v>125</v>
      </c>
      <c r="M556">
        <v>119</v>
      </c>
      <c r="N556">
        <v>125</v>
      </c>
      <c r="O556">
        <v>1</v>
      </c>
      <c r="P556">
        <v>0.963776</v>
      </c>
    </row>
    <row r="557" spans="1:16" x14ac:dyDescent="0.25">
      <c r="A557">
        <v>551</v>
      </c>
      <c r="B557" t="s">
        <v>940</v>
      </c>
      <c r="C557" t="s">
        <v>1543</v>
      </c>
      <c r="D557" t="s">
        <v>255</v>
      </c>
      <c r="E557" t="s">
        <v>1544</v>
      </c>
      <c r="F557" t="s">
        <v>28</v>
      </c>
      <c r="G557">
        <v>0</v>
      </c>
      <c r="H557">
        <v>4.528</v>
      </c>
      <c r="I557">
        <v>4.528</v>
      </c>
      <c r="J557">
        <v>125</v>
      </c>
      <c r="K557">
        <v>0</v>
      </c>
      <c r="L557">
        <v>125</v>
      </c>
      <c r="M557">
        <v>100</v>
      </c>
      <c r="N557">
        <v>125</v>
      </c>
      <c r="O557">
        <v>1</v>
      </c>
      <c r="P557">
        <v>0.963776</v>
      </c>
    </row>
    <row r="558" spans="1:16" x14ac:dyDescent="0.25">
      <c r="A558">
        <v>552</v>
      </c>
      <c r="B558" t="s">
        <v>940</v>
      </c>
      <c r="C558" t="s">
        <v>1545</v>
      </c>
      <c r="D558" t="s">
        <v>255</v>
      </c>
      <c r="E558" t="s">
        <v>1546</v>
      </c>
      <c r="F558" t="s">
        <v>28</v>
      </c>
      <c r="G558">
        <v>0</v>
      </c>
      <c r="H558">
        <v>4.528</v>
      </c>
      <c r="I558">
        <v>4.528</v>
      </c>
      <c r="J558">
        <v>36</v>
      </c>
      <c r="K558">
        <v>29</v>
      </c>
      <c r="L558">
        <v>36</v>
      </c>
      <c r="M558">
        <v>29</v>
      </c>
      <c r="N558">
        <v>36</v>
      </c>
      <c r="O558">
        <v>1</v>
      </c>
      <c r="P558">
        <v>0.8742222222222222</v>
      </c>
    </row>
    <row r="559" spans="1:16" x14ac:dyDescent="0.25">
      <c r="A559">
        <v>553</v>
      </c>
      <c r="B559" t="s">
        <v>940</v>
      </c>
      <c r="C559" t="s">
        <v>1547</v>
      </c>
      <c r="D559" t="s">
        <v>255</v>
      </c>
      <c r="E559" t="s">
        <v>1548</v>
      </c>
      <c r="F559" t="s">
        <v>28</v>
      </c>
      <c r="G559">
        <v>0</v>
      </c>
      <c r="H559">
        <v>4.528</v>
      </c>
      <c r="I559">
        <v>4.528</v>
      </c>
      <c r="J559">
        <v>134</v>
      </c>
      <c r="K559">
        <v>0</v>
      </c>
      <c r="L559">
        <v>134</v>
      </c>
      <c r="M559">
        <v>107.2</v>
      </c>
      <c r="N559">
        <v>134</v>
      </c>
      <c r="O559">
        <v>1</v>
      </c>
      <c r="P559">
        <v>0.9662089552238806</v>
      </c>
    </row>
    <row r="560" spans="1:16" x14ac:dyDescent="0.25">
      <c r="A560">
        <v>554</v>
      </c>
      <c r="B560" t="s">
        <v>940</v>
      </c>
      <c r="C560" t="s">
        <v>1549</v>
      </c>
      <c r="D560" t="s">
        <v>255</v>
      </c>
      <c r="E560" t="s">
        <v>1550</v>
      </c>
      <c r="F560" t="s">
        <v>28</v>
      </c>
      <c r="G560">
        <v>0</v>
      </c>
      <c r="H560">
        <v>4.528</v>
      </c>
      <c r="I560">
        <v>4.528</v>
      </c>
      <c r="J560">
        <v>21</v>
      </c>
      <c r="K560">
        <v>21</v>
      </c>
      <c r="L560">
        <v>21</v>
      </c>
      <c r="M560">
        <v>16.8</v>
      </c>
      <c r="N560">
        <v>21</v>
      </c>
      <c r="O560">
        <v>1</v>
      </c>
      <c r="P560">
        <v>0.7843809523809524</v>
      </c>
    </row>
    <row r="561" spans="1:16" x14ac:dyDescent="0.25">
      <c r="A561">
        <v>555</v>
      </c>
      <c r="B561" t="s">
        <v>940</v>
      </c>
      <c r="C561" t="s">
        <v>1551</v>
      </c>
      <c r="D561" t="s">
        <v>255</v>
      </c>
      <c r="E561" t="s">
        <v>1552</v>
      </c>
      <c r="F561" t="s">
        <v>28</v>
      </c>
      <c r="G561">
        <v>0</v>
      </c>
      <c r="H561">
        <v>4.528</v>
      </c>
      <c r="I561">
        <v>4.528</v>
      </c>
      <c r="J561">
        <v>70</v>
      </c>
      <c r="K561">
        <v>70</v>
      </c>
      <c r="L561">
        <v>70</v>
      </c>
      <c r="M561">
        <v>56</v>
      </c>
      <c r="N561">
        <v>70</v>
      </c>
      <c r="O561">
        <v>1</v>
      </c>
      <c r="P561">
        <v>0.9353142857142857</v>
      </c>
    </row>
    <row r="562" spans="1:16" x14ac:dyDescent="0.25">
      <c r="A562">
        <v>556</v>
      </c>
      <c r="B562" t="s">
        <v>940</v>
      </c>
      <c r="C562" t="s">
        <v>1553</v>
      </c>
      <c r="D562" t="s">
        <v>255</v>
      </c>
      <c r="E562" t="s">
        <v>1554</v>
      </c>
      <c r="F562" t="s">
        <v>28</v>
      </c>
      <c r="G562">
        <v>0</v>
      </c>
      <c r="H562">
        <v>4.528</v>
      </c>
      <c r="I562">
        <v>4.528</v>
      </c>
      <c r="J562">
        <v>34</v>
      </c>
      <c r="K562">
        <v>34</v>
      </c>
      <c r="L562">
        <v>34</v>
      </c>
      <c r="M562">
        <v>27.2</v>
      </c>
      <c r="N562">
        <v>34</v>
      </c>
      <c r="O562">
        <v>1</v>
      </c>
      <c r="P562">
        <v>0.8668235294117648</v>
      </c>
    </row>
    <row r="563" spans="1:16" x14ac:dyDescent="0.25">
      <c r="A563">
        <v>557</v>
      </c>
      <c r="B563" t="s">
        <v>940</v>
      </c>
      <c r="C563" t="s">
        <v>1555</v>
      </c>
      <c r="D563" t="s">
        <v>255</v>
      </c>
      <c r="E563" t="s">
        <v>1556</v>
      </c>
      <c r="F563" t="s">
        <v>28</v>
      </c>
      <c r="G563">
        <v>0</v>
      </c>
      <c r="H563">
        <v>4.528</v>
      </c>
      <c r="I563">
        <v>4.528</v>
      </c>
      <c r="J563">
        <v>33</v>
      </c>
      <c r="K563">
        <v>33</v>
      </c>
      <c r="L563">
        <v>33</v>
      </c>
      <c r="M563">
        <v>26.4</v>
      </c>
      <c r="N563">
        <v>33</v>
      </c>
      <c r="O563">
        <v>1</v>
      </c>
      <c r="P563">
        <v>0.8627878787878789</v>
      </c>
    </row>
    <row r="564" spans="1:16" x14ac:dyDescent="0.25">
      <c r="A564">
        <v>558</v>
      </c>
      <c r="B564" t="s">
        <v>940</v>
      </c>
      <c r="C564" t="s">
        <v>1557</v>
      </c>
      <c r="D564" t="s">
        <v>255</v>
      </c>
      <c r="E564" t="s">
        <v>1558</v>
      </c>
      <c r="F564" t="s">
        <v>28</v>
      </c>
      <c r="G564">
        <v>0</v>
      </c>
      <c r="H564">
        <v>4.528</v>
      </c>
      <c r="I564">
        <v>4.528</v>
      </c>
      <c r="J564">
        <v>19</v>
      </c>
      <c r="K564">
        <v>19</v>
      </c>
      <c r="L564">
        <v>19</v>
      </c>
      <c r="M564">
        <v>15.2</v>
      </c>
      <c r="N564">
        <v>19</v>
      </c>
      <c r="O564">
        <v>1</v>
      </c>
      <c r="P564">
        <v>0.7616842105263159</v>
      </c>
    </row>
    <row r="565" spans="1:16" x14ac:dyDescent="0.25">
      <c r="A565">
        <v>559</v>
      </c>
      <c r="B565" t="s">
        <v>940</v>
      </c>
      <c r="C565" t="s">
        <v>1559</v>
      </c>
      <c r="D565" t="s">
        <v>255</v>
      </c>
      <c r="E565" t="s">
        <v>1560</v>
      </c>
      <c r="F565" t="s">
        <v>28</v>
      </c>
      <c r="G565">
        <v>0</v>
      </c>
      <c r="H565">
        <v>4.528</v>
      </c>
      <c r="I565">
        <v>4.528</v>
      </c>
      <c r="J565">
        <v>18</v>
      </c>
      <c r="K565">
        <v>18</v>
      </c>
      <c r="L565">
        <v>18</v>
      </c>
      <c r="M565">
        <v>14.4</v>
      </c>
      <c r="N565">
        <v>18</v>
      </c>
      <c r="O565">
        <v>1</v>
      </c>
      <c r="P565">
        <v>0.7484444444444445</v>
      </c>
    </row>
    <row r="566" spans="1:16" x14ac:dyDescent="0.25">
      <c r="A566">
        <v>560</v>
      </c>
      <c r="B566" t="s">
        <v>940</v>
      </c>
      <c r="C566" t="s">
        <v>1561</v>
      </c>
      <c r="D566" t="s">
        <v>255</v>
      </c>
      <c r="E566" t="s">
        <v>1562</v>
      </c>
      <c r="F566" t="s">
        <v>28</v>
      </c>
      <c r="G566">
        <v>0</v>
      </c>
      <c r="H566">
        <v>4.528</v>
      </c>
      <c r="I566">
        <v>4.528</v>
      </c>
      <c r="J566">
        <v>23</v>
      </c>
      <c r="K566">
        <v>23</v>
      </c>
      <c r="L566">
        <v>23</v>
      </c>
      <c r="M566">
        <v>18.4</v>
      </c>
      <c r="N566">
        <v>23</v>
      </c>
      <c r="O566">
        <v>1</v>
      </c>
      <c r="P566">
        <v>0.8031304347826087</v>
      </c>
    </row>
    <row r="567" spans="1:16" x14ac:dyDescent="0.25">
      <c r="A567">
        <v>561</v>
      </c>
      <c r="B567" t="s">
        <v>940</v>
      </c>
      <c r="C567" t="s">
        <v>1563</v>
      </c>
      <c r="D567" t="s">
        <v>255</v>
      </c>
      <c r="E567" t="s">
        <v>1564</v>
      </c>
      <c r="F567" t="s">
        <v>28</v>
      </c>
      <c r="G567">
        <v>0</v>
      </c>
      <c r="H567">
        <v>4.528</v>
      </c>
      <c r="I567">
        <v>4.528</v>
      </c>
      <c r="J567">
        <v>22</v>
      </c>
      <c r="K567">
        <v>22</v>
      </c>
      <c r="L567">
        <v>22</v>
      </c>
      <c r="M567">
        <v>17.6</v>
      </c>
      <c r="N567">
        <v>22</v>
      </c>
      <c r="O567">
        <v>1</v>
      </c>
      <c r="P567">
        <v>0.7941818181818182</v>
      </c>
    </row>
    <row r="568" spans="1:16" x14ac:dyDescent="0.25">
      <c r="A568">
        <v>562</v>
      </c>
      <c r="B568" t="s">
        <v>940</v>
      </c>
      <c r="C568" t="s">
        <v>1565</v>
      </c>
      <c r="D568" t="s">
        <v>255</v>
      </c>
      <c r="E568" t="s">
        <v>1566</v>
      </c>
      <c r="F568" t="s">
        <v>28</v>
      </c>
      <c r="G568">
        <v>0</v>
      </c>
      <c r="H568">
        <v>4.528</v>
      </c>
      <c r="I568">
        <v>4.528</v>
      </c>
      <c r="J568">
        <v>22</v>
      </c>
      <c r="K568">
        <v>22</v>
      </c>
      <c r="L568">
        <v>22</v>
      </c>
      <c r="M568">
        <v>17.6</v>
      </c>
      <c r="N568">
        <v>22</v>
      </c>
      <c r="O568">
        <v>1</v>
      </c>
      <c r="P568">
        <v>0.7941818181818182</v>
      </c>
    </row>
    <row r="569" spans="1:16" x14ac:dyDescent="0.25">
      <c r="A569">
        <v>563</v>
      </c>
      <c r="B569" t="s">
        <v>940</v>
      </c>
      <c r="C569" t="s">
        <v>1567</v>
      </c>
      <c r="D569" t="s">
        <v>255</v>
      </c>
      <c r="E569" t="s">
        <v>1568</v>
      </c>
      <c r="F569" t="s">
        <v>28</v>
      </c>
      <c r="G569">
        <v>0</v>
      </c>
      <c r="H569">
        <v>4.528</v>
      </c>
      <c r="I569">
        <v>4.528</v>
      </c>
      <c r="J569">
        <v>21</v>
      </c>
      <c r="K569">
        <v>21</v>
      </c>
      <c r="L569">
        <v>21</v>
      </c>
      <c r="M569">
        <v>16.8</v>
      </c>
      <c r="N569">
        <v>21</v>
      </c>
      <c r="O569">
        <v>1</v>
      </c>
      <c r="P569">
        <v>0.7843809523809524</v>
      </c>
    </row>
    <row r="570" spans="1:16" x14ac:dyDescent="0.25">
      <c r="A570">
        <v>564</v>
      </c>
      <c r="B570" t="s">
        <v>940</v>
      </c>
      <c r="C570" t="s">
        <v>1569</v>
      </c>
      <c r="D570" t="s">
        <v>255</v>
      </c>
      <c r="E570" t="s">
        <v>1570</v>
      </c>
      <c r="F570" t="s">
        <v>28</v>
      </c>
      <c r="G570">
        <v>0</v>
      </c>
      <c r="H570">
        <v>4.528</v>
      </c>
      <c r="I570">
        <v>4.528</v>
      </c>
      <c r="J570">
        <v>38</v>
      </c>
      <c r="K570">
        <v>38</v>
      </c>
      <c r="L570">
        <v>38</v>
      </c>
      <c r="M570">
        <v>30.4</v>
      </c>
      <c r="N570">
        <v>38</v>
      </c>
      <c r="O570">
        <v>1</v>
      </c>
      <c r="P570">
        <v>0.880842105263158</v>
      </c>
    </row>
    <row r="571" spans="1:16" x14ac:dyDescent="0.25">
      <c r="A571">
        <v>565</v>
      </c>
      <c r="B571" t="s">
        <v>940</v>
      </c>
      <c r="C571" t="s">
        <v>1571</v>
      </c>
      <c r="D571" t="s">
        <v>255</v>
      </c>
      <c r="E571" t="s">
        <v>1572</v>
      </c>
      <c r="F571" t="s">
        <v>28</v>
      </c>
      <c r="G571">
        <v>0</v>
      </c>
      <c r="H571">
        <v>4.528</v>
      </c>
      <c r="I571">
        <v>4.528</v>
      </c>
      <c r="J571">
        <v>28</v>
      </c>
      <c r="K571">
        <v>28</v>
      </c>
      <c r="L571">
        <v>28</v>
      </c>
      <c r="M571">
        <v>22.4</v>
      </c>
      <c r="N571">
        <v>28</v>
      </c>
      <c r="O571">
        <v>1</v>
      </c>
      <c r="P571">
        <v>0.8382857142857143</v>
      </c>
    </row>
    <row r="572" spans="1:16" x14ac:dyDescent="0.25">
      <c r="A572">
        <v>566</v>
      </c>
      <c r="B572" t="s">
        <v>940</v>
      </c>
      <c r="C572" t="s">
        <v>1573</v>
      </c>
      <c r="D572" t="s">
        <v>255</v>
      </c>
      <c r="E572" t="s">
        <v>1574</v>
      </c>
      <c r="F572" t="s">
        <v>28</v>
      </c>
      <c r="G572">
        <v>0</v>
      </c>
      <c r="H572">
        <v>4.528</v>
      </c>
      <c r="I572">
        <v>4.528</v>
      </c>
      <c r="J572">
        <v>45</v>
      </c>
      <c r="K572">
        <v>45</v>
      </c>
      <c r="L572">
        <v>45</v>
      </c>
      <c r="M572">
        <v>36</v>
      </c>
      <c r="N572">
        <v>45</v>
      </c>
      <c r="O572">
        <v>1</v>
      </c>
      <c r="P572">
        <v>0.8993777777777778</v>
      </c>
    </row>
    <row r="573" spans="1:16" x14ac:dyDescent="0.25">
      <c r="A573">
        <v>567</v>
      </c>
      <c r="B573" t="s">
        <v>940</v>
      </c>
      <c r="C573" t="s">
        <v>1575</v>
      </c>
      <c r="D573" t="s">
        <v>255</v>
      </c>
      <c r="E573" t="s">
        <v>1576</v>
      </c>
      <c r="F573" t="s">
        <v>28</v>
      </c>
      <c r="G573">
        <v>0</v>
      </c>
      <c r="H573">
        <v>4.528</v>
      </c>
      <c r="I573">
        <v>4.528</v>
      </c>
      <c r="J573">
        <v>12</v>
      </c>
      <c r="K573">
        <v>12</v>
      </c>
      <c r="L573">
        <v>12</v>
      </c>
      <c r="M573">
        <v>9.6</v>
      </c>
      <c r="N573">
        <v>12</v>
      </c>
      <c r="O573">
        <v>1</v>
      </c>
      <c r="P573">
        <v>0.6226666666666667</v>
      </c>
    </row>
    <row r="574" spans="1:16" x14ac:dyDescent="0.25">
      <c r="A574">
        <v>568</v>
      </c>
      <c r="B574" t="s">
        <v>940</v>
      </c>
      <c r="C574" t="s">
        <v>1577</v>
      </c>
      <c r="D574" t="s">
        <v>255</v>
      </c>
      <c r="E574" t="s">
        <v>1578</v>
      </c>
      <c r="F574" t="s">
        <v>28</v>
      </c>
      <c r="G574">
        <v>0</v>
      </c>
      <c r="H574">
        <v>4.528</v>
      </c>
      <c r="I574">
        <v>4.528</v>
      </c>
      <c r="J574">
        <v>9</v>
      </c>
      <c r="K574">
        <v>0</v>
      </c>
      <c r="L574">
        <v>9</v>
      </c>
      <c r="M574">
        <v>7.2</v>
      </c>
      <c r="N574">
        <v>9</v>
      </c>
      <c r="O574">
        <v>1</v>
      </c>
      <c r="P574">
        <v>0.49688888888888894</v>
      </c>
    </row>
    <row r="575" spans="1:16" x14ac:dyDescent="0.25">
      <c r="A575">
        <v>569</v>
      </c>
      <c r="B575" t="s">
        <v>940</v>
      </c>
      <c r="C575" t="s">
        <v>1579</v>
      </c>
      <c r="D575" t="s">
        <v>255</v>
      </c>
      <c r="E575" t="s">
        <v>1580</v>
      </c>
      <c r="F575" t="s">
        <v>28</v>
      </c>
      <c r="G575">
        <v>0</v>
      </c>
      <c r="H575">
        <v>4.528</v>
      </c>
      <c r="I575">
        <v>4.528</v>
      </c>
      <c r="J575">
        <v>78</v>
      </c>
      <c r="K575">
        <v>0</v>
      </c>
      <c r="L575">
        <v>78</v>
      </c>
      <c r="M575">
        <v>62.4</v>
      </c>
      <c r="N575">
        <v>78</v>
      </c>
      <c r="O575">
        <v>1</v>
      </c>
      <c r="P575">
        <v>0.9419487179487179</v>
      </c>
    </row>
    <row r="576" spans="1:16" x14ac:dyDescent="0.25">
      <c r="A576">
        <v>570</v>
      </c>
      <c r="B576" t="s">
        <v>940</v>
      </c>
      <c r="C576" t="s">
        <v>1581</v>
      </c>
      <c r="D576" t="s">
        <v>255</v>
      </c>
      <c r="E576" t="s">
        <v>1582</v>
      </c>
      <c r="F576" t="s">
        <v>28</v>
      </c>
      <c r="G576">
        <v>0</v>
      </c>
      <c r="H576">
        <v>4.528</v>
      </c>
      <c r="I576">
        <v>4.528</v>
      </c>
      <c r="J576">
        <v>19</v>
      </c>
      <c r="K576">
        <v>13.5</v>
      </c>
      <c r="L576">
        <v>19</v>
      </c>
      <c r="M576">
        <v>13.5</v>
      </c>
      <c r="N576">
        <v>19</v>
      </c>
      <c r="O576">
        <v>1</v>
      </c>
      <c r="P576">
        <v>0.7616842105263159</v>
      </c>
    </row>
    <row r="577" spans="1:16" x14ac:dyDescent="0.25">
      <c r="A577">
        <v>571</v>
      </c>
      <c r="B577" t="s">
        <v>940</v>
      </c>
      <c r="C577" t="s">
        <v>1583</v>
      </c>
      <c r="D577" t="s">
        <v>255</v>
      </c>
      <c r="E577" t="s">
        <v>1584</v>
      </c>
      <c r="F577" t="s">
        <v>28</v>
      </c>
      <c r="G577">
        <v>0</v>
      </c>
      <c r="H577">
        <v>4.528</v>
      </c>
      <c r="I577">
        <v>4.528</v>
      </c>
      <c r="J577">
        <v>19</v>
      </c>
      <c r="K577">
        <v>13.5</v>
      </c>
      <c r="L577">
        <v>19</v>
      </c>
      <c r="M577">
        <v>13.5</v>
      </c>
      <c r="N577">
        <v>19</v>
      </c>
      <c r="O577">
        <v>1</v>
      </c>
      <c r="P577">
        <v>0.7616842105263159</v>
      </c>
    </row>
    <row r="578" spans="1:16" x14ac:dyDescent="0.25">
      <c r="A578">
        <v>572</v>
      </c>
      <c r="B578" t="s">
        <v>940</v>
      </c>
      <c r="C578" t="s">
        <v>1585</v>
      </c>
      <c r="D578" t="s">
        <v>255</v>
      </c>
      <c r="E578" t="s">
        <v>1586</v>
      </c>
      <c r="F578" t="s">
        <v>28</v>
      </c>
      <c r="G578">
        <v>0</v>
      </c>
      <c r="H578">
        <v>4.528</v>
      </c>
      <c r="I578">
        <v>4.528</v>
      </c>
      <c r="J578">
        <v>19</v>
      </c>
      <c r="K578">
        <v>13.5</v>
      </c>
      <c r="L578">
        <v>19</v>
      </c>
      <c r="M578">
        <v>13.5</v>
      </c>
      <c r="N578">
        <v>19</v>
      </c>
      <c r="O578">
        <v>1</v>
      </c>
      <c r="P578">
        <v>0.7616842105263159</v>
      </c>
    </row>
    <row r="579" spans="1:16" x14ac:dyDescent="0.25">
      <c r="A579">
        <v>573</v>
      </c>
      <c r="B579" t="s">
        <v>940</v>
      </c>
      <c r="C579" t="s">
        <v>1587</v>
      </c>
      <c r="D579" t="s">
        <v>255</v>
      </c>
      <c r="E579" t="s">
        <v>1588</v>
      </c>
      <c r="F579" t="s">
        <v>28</v>
      </c>
      <c r="G579">
        <v>0</v>
      </c>
      <c r="H579">
        <v>4.528</v>
      </c>
      <c r="I579">
        <v>4.528</v>
      </c>
      <c r="J579">
        <v>19</v>
      </c>
      <c r="K579">
        <v>13.5</v>
      </c>
      <c r="L579">
        <v>19</v>
      </c>
      <c r="M579">
        <v>13.5</v>
      </c>
      <c r="N579">
        <v>19</v>
      </c>
      <c r="O579">
        <v>1</v>
      </c>
      <c r="P579">
        <v>0.7616842105263159</v>
      </c>
    </row>
    <row r="580" spans="1:16" x14ac:dyDescent="0.25">
      <c r="A580">
        <v>574</v>
      </c>
      <c r="B580" t="s">
        <v>940</v>
      </c>
      <c r="C580" t="s">
        <v>1589</v>
      </c>
      <c r="D580" t="s">
        <v>255</v>
      </c>
      <c r="E580" t="s">
        <v>1590</v>
      </c>
      <c r="F580" t="s">
        <v>28</v>
      </c>
      <c r="G580">
        <v>0</v>
      </c>
      <c r="H580">
        <v>4.528</v>
      </c>
      <c r="I580">
        <v>4.528</v>
      </c>
      <c r="J580">
        <v>19</v>
      </c>
      <c r="K580">
        <v>13.5</v>
      </c>
      <c r="L580">
        <v>19</v>
      </c>
      <c r="M580">
        <v>13.5</v>
      </c>
      <c r="N580">
        <v>19</v>
      </c>
      <c r="O580">
        <v>1</v>
      </c>
      <c r="P580">
        <v>0.7616842105263159</v>
      </c>
    </row>
    <row r="581" spans="1:16" x14ac:dyDescent="0.25">
      <c r="A581">
        <v>575</v>
      </c>
      <c r="B581" t="s">
        <v>940</v>
      </c>
      <c r="C581" t="s">
        <v>1591</v>
      </c>
      <c r="D581" t="s">
        <v>255</v>
      </c>
      <c r="E581" t="s">
        <v>1592</v>
      </c>
      <c r="F581" t="s">
        <v>28</v>
      </c>
      <c r="G581">
        <v>0</v>
      </c>
      <c r="H581">
        <v>4.528</v>
      </c>
      <c r="I581">
        <v>4.528</v>
      </c>
      <c r="J581">
        <v>23</v>
      </c>
      <c r="K581">
        <v>16</v>
      </c>
      <c r="L581">
        <v>23</v>
      </c>
      <c r="M581">
        <v>16</v>
      </c>
      <c r="N581">
        <v>23</v>
      </c>
      <c r="O581">
        <v>1</v>
      </c>
      <c r="P581">
        <v>0.8031304347826087</v>
      </c>
    </row>
    <row r="582" spans="1:16" x14ac:dyDescent="0.25">
      <c r="A582">
        <v>576</v>
      </c>
      <c r="B582" t="s">
        <v>940</v>
      </c>
      <c r="C582" t="s">
        <v>1593</v>
      </c>
      <c r="D582" t="s">
        <v>255</v>
      </c>
      <c r="E582" t="s">
        <v>1594</v>
      </c>
      <c r="F582" t="s">
        <v>28</v>
      </c>
      <c r="G582">
        <v>0</v>
      </c>
      <c r="H582">
        <v>4.528</v>
      </c>
      <c r="I582">
        <v>4.528</v>
      </c>
      <c r="J582">
        <v>27</v>
      </c>
      <c r="K582">
        <v>21.5</v>
      </c>
      <c r="L582">
        <v>27</v>
      </c>
      <c r="M582">
        <v>21.5</v>
      </c>
      <c r="N582">
        <v>27</v>
      </c>
      <c r="O582">
        <v>1</v>
      </c>
      <c r="P582">
        <v>0.8322962962962963</v>
      </c>
    </row>
    <row r="583" spans="1:16" x14ac:dyDescent="0.25">
      <c r="A583">
        <v>577</v>
      </c>
      <c r="B583" t="s">
        <v>940</v>
      </c>
      <c r="C583" t="s">
        <v>1595</v>
      </c>
      <c r="D583" t="s">
        <v>255</v>
      </c>
      <c r="E583" t="s">
        <v>1596</v>
      </c>
      <c r="F583" t="s">
        <v>28</v>
      </c>
      <c r="G583">
        <v>0</v>
      </c>
      <c r="H583">
        <v>4.528</v>
      </c>
      <c r="I583">
        <v>4.528</v>
      </c>
      <c r="J583">
        <v>30</v>
      </c>
      <c r="K583">
        <v>24</v>
      </c>
      <c r="L583">
        <v>30</v>
      </c>
      <c r="M583">
        <v>24</v>
      </c>
      <c r="N583">
        <v>30</v>
      </c>
      <c r="O583">
        <v>1</v>
      </c>
      <c r="P583">
        <v>0.8490666666666667</v>
      </c>
    </row>
    <row r="584" spans="1:16" x14ac:dyDescent="0.25">
      <c r="A584">
        <v>578</v>
      </c>
      <c r="B584" t="s">
        <v>940</v>
      </c>
      <c r="C584" t="s">
        <v>1597</v>
      </c>
      <c r="D584" t="s">
        <v>255</v>
      </c>
      <c r="E584" t="s">
        <v>1598</v>
      </c>
      <c r="F584" t="s">
        <v>28</v>
      </c>
      <c r="G584">
        <v>0</v>
      </c>
      <c r="H584">
        <v>4.528</v>
      </c>
      <c r="I584">
        <v>4.528</v>
      </c>
      <c r="J584">
        <v>247</v>
      </c>
      <c r="K584">
        <v>0</v>
      </c>
      <c r="L584">
        <v>247</v>
      </c>
      <c r="M584">
        <v>197.6</v>
      </c>
      <c r="N584">
        <v>247</v>
      </c>
      <c r="O584">
        <v>1</v>
      </c>
      <c r="P584">
        <v>0.981668016194332</v>
      </c>
    </row>
    <row r="585" spans="1:16" x14ac:dyDescent="0.25">
      <c r="A585">
        <v>579</v>
      </c>
      <c r="B585" t="s">
        <v>940</v>
      </c>
      <c r="C585" t="s">
        <v>1599</v>
      </c>
      <c r="D585" t="s">
        <v>255</v>
      </c>
      <c r="E585" t="s">
        <v>1600</v>
      </c>
      <c r="F585" t="s">
        <v>28</v>
      </c>
      <c r="G585">
        <v>0</v>
      </c>
      <c r="H585">
        <v>4.528</v>
      </c>
      <c r="I585">
        <v>4.528</v>
      </c>
      <c r="J585">
        <v>0</v>
      </c>
      <c r="K585">
        <v>0</v>
      </c>
      <c r="L585">
        <v>10</v>
      </c>
      <c r="M585">
        <v>8</v>
      </c>
      <c r="N585">
        <v>10</v>
      </c>
      <c r="O585">
        <v>1</v>
      </c>
      <c r="P585">
        <v>0.5472</v>
      </c>
    </row>
    <row r="586" spans="1:16" x14ac:dyDescent="0.25">
      <c r="A586">
        <v>580</v>
      </c>
      <c r="B586" t="s">
        <v>940</v>
      </c>
      <c r="C586" t="s">
        <v>1601</v>
      </c>
      <c r="D586" t="s">
        <v>255</v>
      </c>
      <c r="E586" t="s">
        <v>1602</v>
      </c>
      <c r="F586" t="s">
        <v>28</v>
      </c>
      <c r="G586">
        <v>0</v>
      </c>
      <c r="H586">
        <v>4.528</v>
      </c>
      <c r="I586">
        <v>4.528</v>
      </c>
      <c r="J586">
        <v>0</v>
      </c>
      <c r="K586">
        <v>0</v>
      </c>
      <c r="L586">
        <v>10</v>
      </c>
      <c r="M586">
        <v>8</v>
      </c>
      <c r="N586">
        <v>10</v>
      </c>
      <c r="O586">
        <v>1</v>
      </c>
      <c r="P586">
        <v>0.5472</v>
      </c>
    </row>
    <row r="587" spans="1:16" x14ac:dyDescent="0.25">
      <c r="A587">
        <v>581</v>
      </c>
      <c r="B587" t="s">
        <v>940</v>
      </c>
      <c r="C587" t="s">
        <v>1603</v>
      </c>
      <c r="D587" t="s">
        <v>255</v>
      </c>
      <c r="E587" t="s">
        <v>1604</v>
      </c>
      <c r="F587" t="s">
        <v>28</v>
      </c>
      <c r="G587">
        <v>0</v>
      </c>
      <c r="H587">
        <v>4.528</v>
      </c>
      <c r="I587">
        <v>4.528</v>
      </c>
      <c r="J587">
        <v>0</v>
      </c>
      <c r="K587">
        <v>0</v>
      </c>
      <c r="L587">
        <v>10</v>
      </c>
      <c r="M587">
        <v>8</v>
      </c>
      <c r="N587">
        <v>10</v>
      </c>
      <c r="O587">
        <v>1</v>
      </c>
      <c r="P587">
        <v>0.5472</v>
      </c>
    </row>
    <row r="588" spans="1:16" x14ac:dyDescent="0.25">
      <c r="A588">
        <v>582</v>
      </c>
      <c r="B588" t="s">
        <v>940</v>
      </c>
      <c r="C588" t="s">
        <v>1605</v>
      </c>
      <c r="D588" t="s">
        <v>255</v>
      </c>
      <c r="E588" t="s">
        <v>1606</v>
      </c>
      <c r="F588" t="s">
        <v>28</v>
      </c>
      <c r="G588">
        <v>0</v>
      </c>
      <c r="H588">
        <v>4.528</v>
      </c>
      <c r="I588">
        <v>4.528</v>
      </c>
      <c r="J588">
        <v>0</v>
      </c>
      <c r="K588">
        <v>0</v>
      </c>
      <c r="L588">
        <v>10</v>
      </c>
      <c r="M588">
        <v>8</v>
      </c>
      <c r="N588">
        <v>10</v>
      </c>
      <c r="O588">
        <v>1</v>
      </c>
      <c r="P588">
        <v>0.5472</v>
      </c>
    </row>
    <row r="589" spans="1:16" x14ac:dyDescent="0.25">
      <c r="A589">
        <v>583</v>
      </c>
      <c r="B589" t="s">
        <v>940</v>
      </c>
      <c r="C589" t="s">
        <v>1607</v>
      </c>
      <c r="D589" t="s">
        <v>255</v>
      </c>
      <c r="E589" t="s">
        <v>1608</v>
      </c>
      <c r="F589" t="s">
        <v>28</v>
      </c>
      <c r="G589">
        <v>0</v>
      </c>
      <c r="H589">
        <v>4.528</v>
      </c>
      <c r="I589">
        <v>4.528</v>
      </c>
      <c r="J589">
        <v>25</v>
      </c>
      <c r="K589">
        <v>22.5</v>
      </c>
      <c r="L589">
        <v>25</v>
      </c>
      <c r="M589">
        <v>22.5</v>
      </c>
      <c r="N589">
        <v>25</v>
      </c>
      <c r="O589">
        <v>1</v>
      </c>
      <c r="P589">
        <v>0.81888</v>
      </c>
    </row>
    <row r="590" spans="1:16" x14ac:dyDescent="0.25">
      <c r="A590">
        <v>584</v>
      </c>
      <c r="B590" t="s">
        <v>940</v>
      </c>
      <c r="C590" t="s">
        <v>1609</v>
      </c>
      <c r="D590" t="s">
        <v>255</v>
      </c>
      <c r="E590" t="s">
        <v>1610</v>
      </c>
      <c r="F590" t="s">
        <v>28</v>
      </c>
      <c r="G590">
        <v>0</v>
      </c>
      <c r="H590">
        <v>4.528</v>
      </c>
      <c r="I590">
        <v>4.528</v>
      </c>
      <c r="J590">
        <v>82</v>
      </c>
      <c r="K590">
        <v>74</v>
      </c>
      <c r="L590">
        <v>82</v>
      </c>
      <c r="M590">
        <v>74</v>
      </c>
      <c r="N590">
        <v>82</v>
      </c>
      <c r="O590">
        <v>1</v>
      </c>
      <c r="P590">
        <v>0.944780487804878</v>
      </c>
    </row>
    <row r="591" spans="1:16" x14ac:dyDescent="0.25">
      <c r="A591">
        <v>585</v>
      </c>
      <c r="B591" t="s">
        <v>940</v>
      </c>
      <c r="C591" t="s">
        <v>1611</v>
      </c>
      <c r="D591" t="s">
        <v>255</v>
      </c>
      <c r="E591" t="s">
        <v>1612</v>
      </c>
      <c r="F591" t="s">
        <v>28</v>
      </c>
      <c r="G591">
        <v>0</v>
      </c>
      <c r="H591">
        <v>4.528</v>
      </c>
      <c r="I591">
        <v>4.528</v>
      </c>
      <c r="J591">
        <v>162</v>
      </c>
      <c r="K591">
        <v>162</v>
      </c>
      <c r="L591">
        <v>162</v>
      </c>
      <c r="M591">
        <v>129.6</v>
      </c>
      <c r="N591">
        <v>162</v>
      </c>
      <c r="O591">
        <v>1</v>
      </c>
      <c r="P591">
        <v>0.9720493827160495</v>
      </c>
    </row>
    <row r="592" spans="1:16" x14ac:dyDescent="0.25">
      <c r="A592">
        <v>586</v>
      </c>
      <c r="B592" t="s">
        <v>940</v>
      </c>
      <c r="C592" t="s">
        <v>1613</v>
      </c>
      <c r="D592" t="s">
        <v>255</v>
      </c>
      <c r="E592" t="s">
        <v>1614</v>
      </c>
      <c r="F592" t="s">
        <v>28</v>
      </c>
      <c r="G592">
        <v>0</v>
      </c>
      <c r="H592">
        <v>4.528</v>
      </c>
      <c r="I592">
        <v>4.528</v>
      </c>
      <c r="J592">
        <v>75</v>
      </c>
      <c r="K592">
        <v>0</v>
      </c>
      <c r="L592">
        <v>75</v>
      </c>
      <c r="M592">
        <v>60</v>
      </c>
      <c r="N592">
        <v>75</v>
      </c>
      <c r="O592">
        <v>1</v>
      </c>
      <c r="P592">
        <v>0.9396266666666666</v>
      </c>
    </row>
    <row r="593" spans="1:16" x14ac:dyDescent="0.25">
      <c r="A593">
        <v>587</v>
      </c>
      <c r="B593" t="s">
        <v>940</v>
      </c>
      <c r="C593" t="s">
        <v>1615</v>
      </c>
      <c r="D593" t="s">
        <v>255</v>
      </c>
      <c r="E593" t="s">
        <v>1616</v>
      </c>
      <c r="F593" t="s">
        <v>28</v>
      </c>
      <c r="G593">
        <v>0</v>
      </c>
      <c r="H593">
        <v>4.528</v>
      </c>
      <c r="I593">
        <v>4.528</v>
      </c>
      <c r="J593">
        <v>63</v>
      </c>
      <c r="K593">
        <v>0</v>
      </c>
      <c r="L593">
        <v>63</v>
      </c>
      <c r="M593">
        <v>50.4</v>
      </c>
      <c r="N593">
        <v>63</v>
      </c>
      <c r="O593">
        <v>1</v>
      </c>
      <c r="P593">
        <v>0.9281269841269841</v>
      </c>
    </row>
    <row r="594" spans="1:16" x14ac:dyDescent="0.25">
      <c r="A594">
        <v>588</v>
      </c>
      <c r="B594" t="s">
        <v>940</v>
      </c>
      <c r="C594" t="s">
        <v>1617</v>
      </c>
      <c r="D594" t="s">
        <v>255</v>
      </c>
      <c r="E594" t="s">
        <v>1618</v>
      </c>
      <c r="F594" t="s">
        <v>28</v>
      </c>
      <c r="G594">
        <v>0</v>
      </c>
      <c r="H594">
        <v>4.528</v>
      </c>
      <c r="I594">
        <v>4.528</v>
      </c>
      <c r="J594">
        <v>413</v>
      </c>
      <c r="K594">
        <v>413</v>
      </c>
      <c r="L594">
        <v>413</v>
      </c>
      <c r="M594">
        <v>330.4</v>
      </c>
      <c r="N594">
        <v>413</v>
      </c>
      <c r="O594">
        <v>1</v>
      </c>
      <c r="P594">
        <v>0.9890363196125908</v>
      </c>
    </row>
    <row r="595" spans="1:16" x14ac:dyDescent="0.25">
      <c r="A595">
        <v>589</v>
      </c>
      <c r="B595" t="s">
        <v>940</v>
      </c>
      <c r="C595" t="s">
        <v>1619</v>
      </c>
      <c r="D595" t="s">
        <v>255</v>
      </c>
      <c r="E595" t="s">
        <v>1620</v>
      </c>
      <c r="F595" t="s">
        <v>28</v>
      </c>
      <c r="G595">
        <v>0</v>
      </c>
      <c r="H595">
        <v>4.528</v>
      </c>
      <c r="I595">
        <v>4.528</v>
      </c>
      <c r="J595">
        <v>110</v>
      </c>
      <c r="K595">
        <v>110</v>
      </c>
      <c r="L595">
        <v>110</v>
      </c>
      <c r="M595">
        <v>88</v>
      </c>
      <c r="N595">
        <v>110</v>
      </c>
      <c r="O595">
        <v>1</v>
      </c>
      <c r="P595">
        <v>0.9588363636363636</v>
      </c>
    </row>
    <row r="596" spans="1:16" x14ac:dyDescent="0.25">
      <c r="A596">
        <v>590</v>
      </c>
      <c r="B596" t="s">
        <v>940</v>
      </c>
      <c r="C596" t="s">
        <v>1621</v>
      </c>
      <c r="D596" t="s">
        <v>255</v>
      </c>
      <c r="E596" t="s">
        <v>1622</v>
      </c>
      <c r="F596" t="s">
        <v>28</v>
      </c>
      <c r="G596">
        <v>0</v>
      </c>
      <c r="H596">
        <v>4.528</v>
      </c>
      <c r="I596">
        <v>4.528</v>
      </c>
      <c r="J596">
        <v>194</v>
      </c>
      <c r="K596">
        <v>194</v>
      </c>
      <c r="L596">
        <v>194</v>
      </c>
      <c r="M596">
        <v>155.2</v>
      </c>
      <c r="N596">
        <v>194</v>
      </c>
      <c r="O596">
        <v>1</v>
      </c>
      <c r="P596">
        <v>0.976659793814433</v>
      </c>
    </row>
    <row r="597" spans="1:16" x14ac:dyDescent="0.25">
      <c r="A597">
        <v>591</v>
      </c>
      <c r="B597" t="s">
        <v>940</v>
      </c>
      <c r="C597" t="s">
        <v>1623</v>
      </c>
      <c r="D597" t="s">
        <v>255</v>
      </c>
      <c r="E597" t="s">
        <v>1624</v>
      </c>
      <c r="F597" t="s">
        <v>28</v>
      </c>
      <c r="G597">
        <v>0</v>
      </c>
      <c r="H597">
        <v>4.528</v>
      </c>
      <c r="I597">
        <v>4.528</v>
      </c>
      <c r="J597">
        <v>18</v>
      </c>
      <c r="K597">
        <v>18</v>
      </c>
      <c r="L597">
        <v>18</v>
      </c>
      <c r="M597">
        <v>14.4</v>
      </c>
      <c r="N597">
        <v>18</v>
      </c>
      <c r="O597">
        <v>1</v>
      </c>
      <c r="P597">
        <v>0.7484444444444445</v>
      </c>
    </row>
    <row r="598" spans="1:16" x14ac:dyDescent="0.25">
      <c r="A598">
        <v>592</v>
      </c>
      <c r="B598" t="s">
        <v>940</v>
      </c>
      <c r="C598" t="s">
        <v>1625</v>
      </c>
      <c r="D598" t="s">
        <v>255</v>
      </c>
      <c r="E598" t="s">
        <v>1626</v>
      </c>
      <c r="F598" t="s">
        <v>28</v>
      </c>
      <c r="G598">
        <v>0</v>
      </c>
      <c r="H598">
        <v>4.528</v>
      </c>
      <c r="I598">
        <v>4.528</v>
      </c>
      <c r="J598">
        <v>18</v>
      </c>
      <c r="K598">
        <v>18</v>
      </c>
      <c r="L598">
        <v>18</v>
      </c>
      <c r="M598">
        <v>14.4</v>
      </c>
      <c r="N598">
        <v>18</v>
      </c>
      <c r="O598">
        <v>1</v>
      </c>
      <c r="P598">
        <v>0.7484444444444445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PARAMETROS Y CC</vt:lpstr>
      <vt:lpstr>1. ESTANDAR EQUIPOS (INSERTOS)</vt:lpstr>
      <vt:lpstr>2. COSTOS PRUEBAS RAPIDAS</vt:lpstr>
      <vt:lpstr>3. MMQ Y CONSUMIBLES</vt:lpstr>
      <vt:lpstr>4. NOMINA Y GASTOS PERSONAL</vt:lpstr>
      <vt:lpstr>5. FLUJO Y ESTRUCTURA MES</vt:lpstr>
      <vt:lpstr>6. LISTA DE PRODUCTOS LAB CLIN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SQL Admin</cp:lastModifiedBy>
  <dcterms:created xsi:type="dcterms:W3CDTF">2026-08-14T21:30:53Z</dcterms:created>
  <dcterms:modified xsi:type="dcterms:W3CDTF">2026-09-17T15:45:25Z</dcterms:modified>
</cp:coreProperties>
</file>